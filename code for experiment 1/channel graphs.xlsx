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s.bris.ac.uk\filestore\MyFiles\StudentPG3\mc14237\Documents\Documents\code for experiment 1\phase and power coherence new\"/>
    </mc:Choice>
  </mc:AlternateContent>
  <bookViews>
    <workbookView xWindow="0" yWindow="0" windowWidth="17670" windowHeight="10335" activeTab="4" xr2:uid="{5C0B0587-DD42-4796-A0DB-4B92607E9890}"/>
  </bookViews>
  <sheets>
    <sheet name="Theta_phase" sheetId="1" r:id="rId1"/>
    <sheet name="Gamma_phase" sheetId="2" r:id="rId2"/>
    <sheet name="Alpha_phase" sheetId="3" r:id="rId3"/>
    <sheet name="Theta_power" sheetId="4" r:id="rId4"/>
    <sheet name="Gamma_power" sheetId="5" r:id="rId5"/>
    <sheet name="Alpha_power" sheetId="6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" i="4" l="1"/>
  <c r="N29" i="4"/>
  <c r="N28" i="4"/>
  <c r="N27" i="4"/>
  <c r="H30" i="4"/>
  <c r="H29" i="4"/>
  <c r="H28" i="4"/>
  <c r="H27" i="4"/>
  <c r="B30" i="4"/>
  <c r="B29" i="4"/>
  <c r="B28" i="4"/>
  <c r="B27" i="4"/>
  <c r="N30" i="5"/>
  <c r="N29" i="5"/>
  <c r="N28" i="5"/>
  <c r="N27" i="5"/>
  <c r="H30" i="5"/>
  <c r="H29" i="5"/>
  <c r="H28" i="5"/>
  <c r="H27" i="5"/>
  <c r="B30" i="5"/>
  <c r="B29" i="5"/>
  <c r="B28" i="5"/>
  <c r="B27" i="5"/>
  <c r="N30" i="6"/>
  <c r="N29" i="6"/>
  <c r="N28" i="6"/>
  <c r="N27" i="6"/>
  <c r="H30" i="6"/>
  <c r="H29" i="6"/>
  <c r="H28" i="6"/>
  <c r="H27" i="6"/>
  <c r="B30" i="6"/>
  <c r="B29" i="6"/>
  <c r="B28" i="6"/>
  <c r="B27" i="6"/>
  <c r="C24" i="6"/>
  <c r="D24" i="6"/>
  <c r="E24" i="6"/>
  <c r="H24" i="6"/>
  <c r="I24" i="6"/>
  <c r="J24" i="6"/>
  <c r="K24" i="6"/>
  <c r="N24" i="6"/>
  <c r="O24" i="6"/>
  <c r="P24" i="6"/>
  <c r="Q24" i="6"/>
  <c r="C25" i="6"/>
  <c r="D25" i="6"/>
  <c r="E25" i="6"/>
  <c r="H25" i="6"/>
  <c r="I25" i="6"/>
  <c r="J25" i="6"/>
  <c r="K25" i="6"/>
  <c r="N25" i="6"/>
  <c r="O25" i="6"/>
  <c r="P25" i="6"/>
  <c r="Q25" i="6"/>
  <c r="B25" i="6"/>
  <c r="B24" i="6"/>
  <c r="C24" i="5"/>
  <c r="D24" i="5"/>
  <c r="E24" i="5"/>
  <c r="H24" i="5"/>
  <c r="I24" i="5"/>
  <c r="J24" i="5"/>
  <c r="K24" i="5"/>
  <c r="N24" i="5"/>
  <c r="O24" i="5"/>
  <c r="P24" i="5"/>
  <c r="Q24" i="5"/>
  <c r="C25" i="5"/>
  <c r="D25" i="5"/>
  <c r="E25" i="5"/>
  <c r="H25" i="5"/>
  <c r="I25" i="5"/>
  <c r="J25" i="5"/>
  <c r="K25" i="5"/>
  <c r="N25" i="5"/>
  <c r="O25" i="5"/>
  <c r="P25" i="5"/>
  <c r="Q25" i="5"/>
  <c r="B25" i="5"/>
  <c r="B24" i="5"/>
  <c r="C24" i="4"/>
  <c r="D24" i="4"/>
  <c r="E24" i="4"/>
  <c r="H24" i="4"/>
  <c r="I24" i="4"/>
  <c r="J24" i="4"/>
  <c r="K24" i="4"/>
  <c r="N24" i="4"/>
  <c r="O24" i="4"/>
  <c r="P24" i="4"/>
  <c r="Q24" i="4"/>
  <c r="C25" i="4"/>
  <c r="D25" i="4"/>
  <c r="E25" i="4"/>
  <c r="H25" i="4"/>
  <c r="I25" i="4"/>
  <c r="J25" i="4"/>
  <c r="K25" i="4"/>
  <c r="N25" i="4"/>
  <c r="O25" i="4"/>
  <c r="P25" i="4"/>
  <c r="Q25" i="4"/>
  <c r="B25" i="4"/>
  <c r="B24" i="4"/>
  <c r="N30" i="3"/>
  <c r="N29" i="3"/>
  <c r="N28" i="3"/>
  <c r="N27" i="3"/>
  <c r="H30" i="3"/>
  <c r="H29" i="3"/>
  <c r="H28" i="3"/>
  <c r="H27" i="3"/>
  <c r="C24" i="3"/>
  <c r="D24" i="3"/>
  <c r="E24" i="3"/>
  <c r="H24" i="3"/>
  <c r="I24" i="3"/>
  <c r="J24" i="3"/>
  <c r="K24" i="3"/>
  <c r="N24" i="3"/>
  <c r="O24" i="3"/>
  <c r="P24" i="3"/>
  <c r="Q24" i="3"/>
  <c r="C25" i="3"/>
  <c r="D25" i="3"/>
  <c r="E25" i="3"/>
  <c r="H25" i="3"/>
  <c r="I25" i="3"/>
  <c r="J25" i="3"/>
  <c r="K25" i="3"/>
  <c r="N25" i="3"/>
  <c r="O25" i="3"/>
  <c r="P25" i="3"/>
  <c r="Q25" i="3"/>
  <c r="B25" i="3"/>
  <c r="B24" i="3"/>
  <c r="B30" i="3"/>
  <c r="B29" i="3"/>
  <c r="B28" i="3"/>
  <c r="B27" i="3"/>
  <c r="N30" i="2"/>
  <c r="N29" i="2"/>
  <c r="N28" i="2"/>
  <c r="N27" i="2"/>
  <c r="H30" i="2"/>
  <c r="H29" i="2"/>
  <c r="H28" i="2"/>
  <c r="H27" i="2"/>
  <c r="B30" i="2"/>
  <c r="B29" i="2"/>
  <c r="B28" i="2"/>
  <c r="B27" i="2"/>
  <c r="C24" i="2"/>
  <c r="D24" i="2"/>
  <c r="E24" i="2"/>
  <c r="H24" i="2"/>
  <c r="I24" i="2"/>
  <c r="J24" i="2"/>
  <c r="K24" i="2"/>
  <c r="N24" i="2"/>
  <c r="O24" i="2"/>
  <c r="P24" i="2"/>
  <c r="Q24" i="2"/>
  <c r="C25" i="2"/>
  <c r="D25" i="2"/>
  <c r="E25" i="2"/>
  <c r="H25" i="2"/>
  <c r="I25" i="2"/>
  <c r="J25" i="2"/>
  <c r="K25" i="2"/>
  <c r="N25" i="2"/>
  <c r="O25" i="2"/>
  <c r="P25" i="2"/>
  <c r="Q25" i="2"/>
  <c r="B25" i="2"/>
  <c r="B24" i="2"/>
  <c r="B27" i="1"/>
  <c r="N30" i="1"/>
  <c r="N29" i="1"/>
  <c r="N28" i="1"/>
  <c r="N27" i="1"/>
  <c r="H30" i="1"/>
  <c r="H29" i="1"/>
  <c r="H28" i="1"/>
  <c r="H27" i="1"/>
  <c r="B30" i="1"/>
  <c r="B29" i="1"/>
  <c r="B28" i="1"/>
  <c r="C25" i="1"/>
  <c r="D25" i="1"/>
  <c r="E25" i="1"/>
  <c r="O25" i="1"/>
  <c r="P25" i="1"/>
  <c r="Q25" i="1"/>
  <c r="B25" i="1"/>
  <c r="C24" i="1"/>
  <c r="D24" i="1"/>
  <c r="E24" i="1"/>
  <c r="H24" i="1"/>
  <c r="H25" i="1" s="1"/>
  <c r="I24" i="1"/>
  <c r="I25" i="1" s="1"/>
  <c r="J24" i="1"/>
  <c r="J25" i="1" s="1"/>
  <c r="K24" i="1"/>
  <c r="K25" i="1" s="1"/>
  <c r="N24" i="1"/>
  <c r="N25" i="1" s="1"/>
  <c r="O24" i="1"/>
  <c r="P24" i="1"/>
  <c r="Q24" i="1"/>
  <c r="B24" i="1"/>
</calcChain>
</file>

<file path=xl/sharedStrings.xml><?xml version="1.0" encoding="utf-8"?>
<sst xmlns="http://schemas.openxmlformats.org/spreadsheetml/2006/main" count="174" uniqueCount="26">
  <si>
    <t>Theta 31</t>
  </si>
  <si>
    <t>Engs</t>
  </si>
  <si>
    <t>Engw</t>
  </si>
  <si>
    <t>Russ</t>
  </si>
  <si>
    <t>Rusw</t>
  </si>
  <si>
    <t>Theta 17</t>
  </si>
  <si>
    <t>Theta 30</t>
  </si>
  <si>
    <t>Gamma 12</t>
  </si>
  <si>
    <t>Gamma 3</t>
  </si>
  <si>
    <t>Gamma 17</t>
  </si>
  <si>
    <t>Alpha 17</t>
  </si>
  <si>
    <t>Alpha 31</t>
  </si>
  <si>
    <t>Alpha 13</t>
  </si>
  <si>
    <t>mean</t>
  </si>
  <si>
    <t>sd</t>
  </si>
  <si>
    <t>English Strong</t>
  </si>
  <si>
    <t>English Weak</t>
  </si>
  <si>
    <t>Russian Strong</t>
  </si>
  <si>
    <t>Russian Weak</t>
  </si>
  <si>
    <t>Theta 29</t>
  </si>
  <si>
    <t>Theta 6</t>
  </si>
  <si>
    <t>Theta 21</t>
  </si>
  <si>
    <t>Gamma 4</t>
  </si>
  <si>
    <t>Gamma 27</t>
  </si>
  <si>
    <t>Alpha 30</t>
  </si>
  <si>
    <t>Alpha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</si>
</sst>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 phase coherence Theta</a:t>
            </a:r>
            <a:r>
              <a:rPr lang="en-GB" baseline="0"/>
              <a:t> channel 31 (O2)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Theta_phase!$B$25:$E$25</c:f>
                <c:numCache>
                  <c:formatCode>General</c:formatCode>
                  <c:ptCount val="4"/>
                  <c:pt idx="0">
                    <c:v>9.0246930606737857E-2</c:v>
                  </c:pt>
                  <c:pt idx="1">
                    <c:v>6.4963697396392101E-2</c:v>
                  </c:pt>
                  <c:pt idx="2">
                    <c:v>0.14604772185008572</c:v>
                  </c:pt>
                  <c:pt idx="3">
                    <c:v>6.5742616046390909E-2</c:v>
                  </c:pt>
                </c:numCache>
              </c:numRef>
            </c:plus>
            <c:minus>
              <c:numRef>
                <c:f>Theta_phase!$B$25:$E$25</c:f>
                <c:numCache>
                  <c:formatCode>General</c:formatCode>
                  <c:ptCount val="4"/>
                  <c:pt idx="0">
                    <c:v>9.0246930606737857E-2</c:v>
                  </c:pt>
                  <c:pt idx="1">
                    <c:v>6.4963697396392101E-2</c:v>
                  </c:pt>
                  <c:pt idx="2">
                    <c:v>0.14604772185008572</c:v>
                  </c:pt>
                  <c:pt idx="3">
                    <c:v>6.5742616046390909E-2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Theta_phase!$B$23:$E$23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Theta_phase!$B$24:$E$24</c:f>
              <c:numCache>
                <c:formatCode>General</c:formatCode>
                <c:ptCount val="4"/>
                <c:pt idx="0">
                  <c:v>5.4206666628760204E-2</c:v>
                </c:pt>
                <c:pt idx="1">
                  <c:v>4.92161309862955E-2</c:v>
                </c:pt>
                <c:pt idx="2">
                  <c:v>7.4140384725368727E-2</c:v>
                </c:pt>
                <c:pt idx="3">
                  <c:v>5.5202674817796296E-2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8-4D42-84F9-9C6846832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175656"/>
        <c:axId val="334175984"/>
      </c:barChart>
      <c:catAx>
        <c:axId val="33417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75984"/>
        <c:crosses val="autoZero"/>
        <c:auto val="1"/>
        <c:lblAlgn val="ctr"/>
        <c:lblOffset val="100"/>
        <c:noMultiLvlLbl val="0"/>
      </c:catAx>
      <c:valAx>
        <c:axId val="33417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75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 phase coherence Theta channel 17 (TP9)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Theta_phase!$H$25:$K$25</c:f>
                <c:numCache>
                  <c:formatCode>General</c:formatCode>
                  <c:ptCount val="4"/>
                  <c:pt idx="0">
                    <c:v>0.12614200784972748</c:v>
                  </c:pt>
                  <c:pt idx="1">
                    <c:v>0.15214741450483565</c:v>
                  </c:pt>
                  <c:pt idx="2">
                    <c:v>0.33776828474708404</c:v>
                  </c:pt>
                  <c:pt idx="3">
                    <c:v>7.4087079753233614E-2</c:v>
                  </c:pt>
                </c:numCache>
              </c:numRef>
            </c:plus>
            <c:minus>
              <c:numRef>
                <c:f>Theta_phase!$H$25:$K$25</c:f>
                <c:numCache>
                  <c:formatCode>General</c:formatCode>
                  <c:ptCount val="4"/>
                  <c:pt idx="0">
                    <c:v>0.12614200784972748</c:v>
                  </c:pt>
                  <c:pt idx="1">
                    <c:v>0.15214741450483565</c:v>
                  </c:pt>
                  <c:pt idx="2">
                    <c:v>0.33776828474708404</c:v>
                  </c:pt>
                  <c:pt idx="3">
                    <c:v>7.4087079753233614E-2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Theta_phase!$H$23:$K$23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Theta_phase!$H$24:$K$24</c:f>
              <c:numCache>
                <c:formatCode>General</c:formatCode>
                <c:ptCount val="4"/>
                <c:pt idx="0">
                  <c:v>7.5252070532572518E-2</c:v>
                </c:pt>
                <c:pt idx="1">
                  <c:v>6.2036965210307299E-2</c:v>
                </c:pt>
                <c:pt idx="2">
                  <c:v>0.14390264363557184</c:v>
                </c:pt>
                <c:pt idx="3">
                  <c:v>6.7092374607745559E-2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B-482A-B6E3-4AC49732D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2430792"/>
        <c:axId val="342431120"/>
      </c:barChart>
      <c:catAx>
        <c:axId val="34243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31120"/>
        <c:crosses val="autoZero"/>
        <c:auto val="1"/>
        <c:lblAlgn val="ctr"/>
        <c:lblOffset val="100"/>
        <c:noMultiLvlLbl val="0"/>
      </c:catAx>
      <c:valAx>
        <c:axId val="34243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30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 phase coherence Theta channel 30 (Oz)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Theta_phase!$N$25:$Q$25</c:f>
                <c:numCache>
                  <c:formatCode>General</c:formatCode>
                  <c:ptCount val="4"/>
                  <c:pt idx="0">
                    <c:v>8.5930130142458747E-2</c:v>
                  </c:pt>
                  <c:pt idx="1">
                    <c:v>0.10266841813352681</c:v>
                  </c:pt>
                  <c:pt idx="2">
                    <c:v>0.27195847686757679</c:v>
                  </c:pt>
                  <c:pt idx="3">
                    <c:v>8.3170963922253038E-2</c:v>
                  </c:pt>
                </c:numCache>
              </c:numRef>
            </c:plus>
            <c:minus>
              <c:numRef>
                <c:f>Theta_phase!$N$25:$Q$25</c:f>
                <c:numCache>
                  <c:formatCode>General</c:formatCode>
                  <c:ptCount val="4"/>
                  <c:pt idx="0">
                    <c:v>8.5930130142458747E-2</c:v>
                  </c:pt>
                  <c:pt idx="1">
                    <c:v>0.10266841813352681</c:v>
                  </c:pt>
                  <c:pt idx="2">
                    <c:v>0.27195847686757679</c:v>
                  </c:pt>
                  <c:pt idx="3">
                    <c:v>8.3170963922253038E-2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Theta_phase!$N$23:$Q$23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Theta_phase!$N$24:$Q$24</c:f>
              <c:numCache>
                <c:formatCode>General</c:formatCode>
                <c:ptCount val="4"/>
                <c:pt idx="0">
                  <c:v>7.9827357465910104E-2</c:v>
                </c:pt>
                <c:pt idx="1">
                  <c:v>6.669792320370696E-2</c:v>
                </c:pt>
                <c:pt idx="2">
                  <c:v>9.2875157639732614E-2</c:v>
                </c:pt>
                <c:pt idx="3">
                  <c:v>6.6017000063397016E-2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6-4F7E-BAD2-376DAD8A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648440"/>
        <c:axId val="413648112"/>
      </c:barChart>
      <c:catAx>
        <c:axId val="41364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48112"/>
        <c:crosses val="autoZero"/>
        <c:auto val="1"/>
        <c:lblAlgn val="ctr"/>
        <c:lblOffset val="100"/>
        <c:noMultiLvlLbl val="0"/>
      </c:catAx>
      <c:valAx>
        <c:axId val="41364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48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</a:t>
            </a:r>
            <a:r>
              <a:rPr lang="en-GB" baseline="0"/>
              <a:t> phase coherence Gamma channel 12 (T7)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Gamma_phase!$B$25:$E$25</c:f>
                <c:numCache>
                  <c:formatCode>General</c:formatCode>
                  <c:ptCount val="4"/>
                  <c:pt idx="0">
                    <c:v>0.10196472347867472</c:v>
                  </c:pt>
                  <c:pt idx="1">
                    <c:v>0.10058821549960643</c:v>
                  </c:pt>
                  <c:pt idx="2">
                    <c:v>1.2420013823013112</c:v>
                  </c:pt>
                  <c:pt idx="3">
                    <c:v>7.0108517455897523E-2</c:v>
                  </c:pt>
                </c:numCache>
              </c:numRef>
            </c:plus>
            <c:minus>
              <c:numRef>
                <c:f>Gamma_phase!$B$25:$E$25</c:f>
                <c:numCache>
                  <c:formatCode>General</c:formatCode>
                  <c:ptCount val="4"/>
                  <c:pt idx="0">
                    <c:v>0.10196472347867472</c:v>
                  </c:pt>
                  <c:pt idx="1">
                    <c:v>0.10058821549960643</c:v>
                  </c:pt>
                  <c:pt idx="2">
                    <c:v>1.2420013823013112</c:v>
                  </c:pt>
                  <c:pt idx="3">
                    <c:v>7.0108517455897523E-2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Gamma_phase!$B$23:$E$23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Gamma_phase!$B$24:$E$24</c:f>
              <c:numCache>
                <c:formatCode>General</c:formatCode>
                <c:ptCount val="4"/>
                <c:pt idx="0">
                  <c:v>4.8955049952062603E-2</c:v>
                </c:pt>
                <c:pt idx="1">
                  <c:v>4.9158144801903378E-2</c:v>
                </c:pt>
                <c:pt idx="2">
                  <c:v>0.31444355186235634</c:v>
                </c:pt>
                <c:pt idx="3">
                  <c:v>3.6808018398571708E-2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6-49A6-B21D-A543D772C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649272"/>
        <c:axId val="211372392"/>
      </c:barChart>
      <c:catAx>
        <c:axId val="42164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72392"/>
        <c:crosses val="autoZero"/>
        <c:auto val="1"/>
        <c:lblAlgn val="ctr"/>
        <c:lblOffset val="100"/>
        <c:noMultiLvlLbl val="0"/>
      </c:catAx>
      <c:valAx>
        <c:axId val="21137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4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</a:t>
            </a:r>
            <a:r>
              <a:rPr lang="en-GB" baseline="0"/>
              <a:t> phase coherence Gamma channel 3 (F7)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Gamma_phase!$H$25:$K$25</c:f>
                <c:numCache>
                  <c:formatCode>General</c:formatCode>
                  <c:ptCount val="4"/>
                  <c:pt idx="0">
                    <c:v>6.3666537814196247E-2</c:v>
                  </c:pt>
                  <c:pt idx="1">
                    <c:v>0.10451170679271139</c:v>
                  </c:pt>
                  <c:pt idx="2">
                    <c:v>0.14334933457694266</c:v>
                  </c:pt>
                  <c:pt idx="3">
                    <c:v>6.7585877353953785E-2</c:v>
                  </c:pt>
                </c:numCache>
              </c:numRef>
            </c:plus>
            <c:minus>
              <c:numRef>
                <c:f>Gamma_phase!$H$25:$K$25</c:f>
                <c:numCache>
                  <c:formatCode>General</c:formatCode>
                  <c:ptCount val="4"/>
                  <c:pt idx="0">
                    <c:v>6.3666537814196247E-2</c:v>
                  </c:pt>
                  <c:pt idx="1">
                    <c:v>0.10451170679271139</c:v>
                  </c:pt>
                  <c:pt idx="2">
                    <c:v>0.14334933457694266</c:v>
                  </c:pt>
                  <c:pt idx="3">
                    <c:v>6.7585877353953785E-2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Gamma_phase!$H$23:$K$23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Gamma_phase!$H$24:$K$24</c:f>
              <c:numCache>
                <c:formatCode>General</c:formatCode>
                <c:ptCount val="4"/>
                <c:pt idx="0">
                  <c:v>4.9007862530609639E-2</c:v>
                </c:pt>
                <c:pt idx="1">
                  <c:v>7.4296680273526247E-2</c:v>
                </c:pt>
                <c:pt idx="2">
                  <c:v>6.6847521952881267E-2</c:v>
                </c:pt>
                <c:pt idx="3">
                  <c:v>5.3009120765033974E-2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9-4821-8E1C-E44F37C74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485128"/>
        <c:axId val="421195128"/>
      </c:barChart>
      <c:catAx>
        <c:axId val="415485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95128"/>
        <c:crosses val="autoZero"/>
        <c:auto val="1"/>
        <c:lblAlgn val="ctr"/>
        <c:lblOffset val="100"/>
        <c:noMultiLvlLbl val="0"/>
      </c:catAx>
      <c:valAx>
        <c:axId val="42119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485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 phase coherence Gamma channel 17 (TP9)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Gamma_phase!$N$25:$Q$25</c:f>
                <c:numCache>
                  <c:formatCode>General</c:formatCode>
                  <c:ptCount val="4"/>
                  <c:pt idx="0">
                    <c:v>9.1883356451447809E-2</c:v>
                  </c:pt>
                  <c:pt idx="1">
                    <c:v>9.095487954409591E-2</c:v>
                  </c:pt>
                  <c:pt idx="2">
                    <c:v>0.12468401921590636</c:v>
                  </c:pt>
                  <c:pt idx="3">
                    <c:v>7.2177576344644639E-2</c:v>
                  </c:pt>
                </c:numCache>
              </c:numRef>
            </c:plus>
            <c:minus>
              <c:numRef>
                <c:f>Gamma_phase!$N$25:$Q$25</c:f>
                <c:numCache>
                  <c:formatCode>General</c:formatCode>
                  <c:ptCount val="4"/>
                  <c:pt idx="0">
                    <c:v>9.1883356451447809E-2</c:v>
                  </c:pt>
                  <c:pt idx="1">
                    <c:v>9.095487954409591E-2</c:v>
                  </c:pt>
                  <c:pt idx="2">
                    <c:v>0.12468401921590636</c:v>
                  </c:pt>
                  <c:pt idx="3">
                    <c:v>7.2177576344644639E-2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Gamma_phase!$N$23:$Q$23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Gamma_phase!$N$24:$Q$24</c:f>
              <c:numCache>
                <c:formatCode>General</c:formatCode>
                <c:ptCount val="4"/>
                <c:pt idx="0">
                  <c:v>5.0401158448641382E-2</c:v>
                </c:pt>
                <c:pt idx="1">
                  <c:v>6.3905213193233251E-2</c:v>
                </c:pt>
                <c:pt idx="2">
                  <c:v>5.9369684927795541E-2</c:v>
                </c:pt>
                <c:pt idx="3">
                  <c:v>5.5776840292652521E-2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2-4EEF-822F-50FF011A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876216"/>
        <c:axId val="420876544"/>
      </c:barChart>
      <c:catAx>
        <c:axId val="420876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76544"/>
        <c:crosses val="autoZero"/>
        <c:auto val="1"/>
        <c:lblAlgn val="ctr"/>
        <c:lblOffset val="100"/>
        <c:noMultiLvlLbl val="0"/>
      </c:catAx>
      <c:valAx>
        <c:axId val="42087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76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 phase coherence Alpha channel</a:t>
            </a:r>
            <a:r>
              <a:rPr lang="en-GB" baseline="0"/>
              <a:t> 17 (TP9)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Alpha_phase!$B$25:$E$25</c:f>
                <c:numCache>
                  <c:formatCode>General</c:formatCode>
                  <c:ptCount val="4"/>
                  <c:pt idx="0">
                    <c:v>0.15843861469976997</c:v>
                  </c:pt>
                  <c:pt idx="1">
                    <c:v>0.10411631342429982</c:v>
                  </c:pt>
                  <c:pt idx="2">
                    <c:v>0.23751886081000118</c:v>
                  </c:pt>
                  <c:pt idx="3">
                    <c:v>0.15331072435705295</c:v>
                  </c:pt>
                </c:numCache>
              </c:numRef>
            </c:plus>
            <c:minus>
              <c:numRef>
                <c:f>Alpha_phase!$B$25:$E$25</c:f>
                <c:numCache>
                  <c:formatCode>General</c:formatCode>
                  <c:ptCount val="4"/>
                  <c:pt idx="0">
                    <c:v>0.15843861469976997</c:v>
                  </c:pt>
                  <c:pt idx="1">
                    <c:v>0.10411631342429982</c:v>
                  </c:pt>
                  <c:pt idx="2">
                    <c:v>0.23751886081000118</c:v>
                  </c:pt>
                  <c:pt idx="3">
                    <c:v>0.15331072435705295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Alpha_phase!$B$23:$E$23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Alpha_phase!$B$24:$E$24</c:f>
              <c:numCache>
                <c:formatCode>General</c:formatCode>
                <c:ptCount val="4"/>
                <c:pt idx="0">
                  <c:v>4.6004618288021597E-2</c:v>
                </c:pt>
                <c:pt idx="1">
                  <c:v>7.3146293667634713E-2</c:v>
                </c:pt>
                <c:pt idx="2">
                  <c:v>0.1043540459731698</c:v>
                </c:pt>
                <c:pt idx="3">
                  <c:v>2.500132364881253E-2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0-4227-BD94-7C201406F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803704"/>
        <c:axId val="424802392"/>
      </c:barChart>
      <c:catAx>
        <c:axId val="424803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02392"/>
        <c:crosses val="autoZero"/>
        <c:auto val="1"/>
        <c:lblAlgn val="ctr"/>
        <c:lblOffset val="100"/>
        <c:noMultiLvlLbl val="0"/>
      </c:catAx>
      <c:valAx>
        <c:axId val="42480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03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</a:t>
            </a:r>
            <a:r>
              <a:rPr lang="en-GB" baseline="0"/>
              <a:t> phase coherence Alpha channel 31 (O2)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Alpha_phase!$H$25:$K$25</c:f>
                <c:numCache>
                  <c:formatCode>General</c:formatCode>
                  <c:ptCount val="4"/>
                  <c:pt idx="0">
                    <c:v>0.19273582062654546</c:v>
                  </c:pt>
                  <c:pt idx="1">
                    <c:v>0.1589747544899536</c:v>
                  </c:pt>
                  <c:pt idx="2">
                    <c:v>0.33517802419209464</c:v>
                  </c:pt>
                  <c:pt idx="3">
                    <c:v>0.12488578879025487</c:v>
                  </c:pt>
                </c:numCache>
              </c:numRef>
            </c:plus>
            <c:minus>
              <c:numRef>
                <c:f>Alpha_phase!$H$25:$K$25</c:f>
                <c:numCache>
                  <c:formatCode>General</c:formatCode>
                  <c:ptCount val="4"/>
                  <c:pt idx="0">
                    <c:v>0.19273582062654546</c:v>
                  </c:pt>
                  <c:pt idx="1">
                    <c:v>0.1589747544899536</c:v>
                  </c:pt>
                  <c:pt idx="2">
                    <c:v>0.33517802419209464</c:v>
                  </c:pt>
                  <c:pt idx="3">
                    <c:v>0.12488578879025487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Alpha_phase!$H$23:$K$23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Alpha_phase!$H$24:$K$24</c:f>
              <c:numCache>
                <c:formatCode>General</c:formatCode>
                <c:ptCount val="4"/>
                <c:pt idx="0">
                  <c:v>0.1011168145730019</c:v>
                </c:pt>
                <c:pt idx="1">
                  <c:v>0.11683998449610133</c:v>
                </c:pt>
                <c:pt idx="2">
                  <c:v>0.11665866151442193</c:v>
                </c:pt>
                <c:pt idx="3">
                  <c:v>5.5942221107823285E-2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3-484E-A3A4-86A48C3AD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125240"/>
        <c:axId val="343122616"/>
      </c:barChart>
      <c:catAx>
        <c:axId val="34312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122616"/>
        <c:crosses val="autoZero"/>
        <c:auto val="1"/>
        <c:lblAlgn val="ctr"/>
        <c:lblOffset val="100"/>
        <c:noMultiLvlLbl val="0"/>
      </c:catAx>
      <c:valAx>
        <c:axId val="34312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125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 phase coherence</a:t>
            </a:r>
            <a:r>
              <a:rPr lang="en-GB" baseline="0"/>
              <a:t> Alpha channel 13 (C3)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Alpha_phase!$N$25:$Q$25</c:f>
                <c:numCache>
                  <c:formatCode>General</c:formatCode>
                  <c:ptCount val="4"/>
                  <c:pt idx="0">
                    <c:v>7.0304776454500936E-2</c:v>
                  </c:pt>
                  <c:pt idx="1">
                    <c:v>0.10334172866136165</c:v>
                  </c:pt>
                  <c:pt idx="2">
                    <c:v>0.13957741790436989</c:v>
                  </c:pt>
                  <c:pt idx="3">
                    <c:v>9.8051739714262398E-2</c:v>
                  </c:pt>
                </c:numCache>
              </c:numRef>
            </c:plus>
            <c:minus>
              <c:numRef>
                <c:f>Alpha_phase!$N$25:$Q$25</c:f>
                <c:numCache>
                  <c:formatCode>General</c:formatCode>
                  <c:ptCount val="4"/>
                  <c:pt idx="0">
                    <c:v>7.0304776454500936E-2</c:v>
                  </c:pt>
                  <c:pt idx="1">
                    <c:v>0.10334172866136165</c:v>
                  </c:pt>
                  <c:pt idx="2">
                    <c:v>0.13957741790436989</c:v>
                  </c:pt>
                  <c:pt idx="3">
                    <c:v>9.8051739714262398E-2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Alpha_phase!$N$23:$Q$23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Alpha_phase!$N$24:$Q$24</c:f>
              <c:numCache>
                <c:formatCode>General</c:formatCode>
                <c:ptCount val="4"/>
                <c:pt idx="0">
                  <c:v>5.2077407551073519E-2</c:v>
                </c:pt>
                <c:pt idx="1">
                  <c:v>6.639839638219841E-2</c:v>
                </c:pt>
                <c:pt idx="2">
                  <c:v>2.0886701398927687E-2</c:v>
                </c:pt>
                <c:pt idx="3">
                  <c:v>2.8735242495898556E-2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A-456C-A80E-68B53198F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305352"/>
        <c:axId val="429305680"/>
      </c:barChart>
      <c:catAx>
        <c:axId val="429305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05680"/>
        <c:crosses val="autoZero"/>
        <c:auto val="1"/>
        <c:lblAlgn val="ctr"/>
        <c:lblOffset val="100"/>
        <c:noMultiLvlLbl val="0"/>
      </c:catAx>
      <c:valAx>
        <c:axId val="4293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05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</a:t>
            </a:r>
            <a:r>
              <a:rPr lang="en-GB" baseline="0"/>
              <a:t> power covariance Theta channel 29 (O1)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Theta_power!$B$25:$E$25</c:f>
                <c:numCache>
                  <c:formatCode>General</c:formatCode>
                  <c:ptCount val="4"/>
                  <c:pt idx="0">
                    <c:v>0.10850567795290578</c:v>
                  </c:pt>
                  <c:pt idx="1">
                    <c:v>7.1862679272727312E-2</c:v>
                  </c:pt>
                  <c:pt idx="2">
                    <c:v>7.8018905765380203E-2</c:v>
                  </c:pt>
                  <c:pt idx="3">
                    <c:v>0.233234949217481</c:v>
                  </c:pt>
                </c:numCache>
              </c:numRef>
            </c:plus>
            <c:minus>
              <c:numRef>
                <c:f>Theta_power!$B$25:$E$25</c:f>
                <c:numCache>
                  <c:formatCode>General</c:formatCode>
                  <c:ptCount val="4"/>
                  <c:pt idx="0">
                    <c:v>0.10850567795290578</c:v>
                  </c:pt>
                  <c:pt idx="1">
                    <c:v>7.1862679272727312E-2</c:v>
                  </c:pt>
                  <c:pt idx="2">
                    <c:v>7.8018905765380203E-2</c:v>
                  </c:pt>
                  <c:pt idx="3">
                    <c:v>0.233234949217481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Theta_power!$B$23:$E$23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Theta_power!$B$24:$E$24</c:f>
              <c:numCache>
                <c:formatCode>General</c:formatCode>
                <c:ptCount val="4"/>
                <c:pt idx="0">
                  <c:v>3.6861698470868384E-2</c:v>
                </c:pt>
                <c:pt idx="1">
                  <c:v>2.7489818638111691E-2</c:v>
                </c:pt>
                <c:pt idx="2">
                  <c:v>1.324736519036976E-2</c:v>
                </c:pt>
                <c:pt idx="3">
                  <c:v>-1.1810476491003842E-2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5-4E3F-ABFD-40BBC4F8A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056320"/>
        <c:axId val="428057304"/>
      </c:barChart>
      <c:catAx>
        <c:axId val="42805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57304"/>
        <c:crosses val="autoZero"/>
        <c:auto val="1"/>
        <c:lblAlgn val="ctr"/>
        <c:lblOffset val="100"/>
        <c:noMultiLvlLbl val="0"/>
      </c:catAx>
      <c:valAx>
        <c:axId val="42805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5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 power covariance Theta channel 6 (F4)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Theta_power!$H$25:$K$25</c:f>
                <c:numCache>
                  <c:formatCode>General</c:formatCode>
                  <c:ptCount val="4"/>
                  <c:pt idx="0">
                    <c:v>0.1616870840650256</c:v>
                  </c:pt>
                  <c:pt idx="1">
                    <c:v>0.14460972274703096</c:v>
                  </c:pt>
                  <c:pt idx="2">
                    <c:v>0.11082119081971788</c:v>
                  </c:pt>
                  <c:pt idx="3">
                    <c:v>8.983333016779467E-2</c:v>
                  </c:pt>
                </c:numCache>
              </c:numRef>
            </c:plus>
            <c:minus>
              <c:numRef>
                <c:f>Theta_power!$H$25:$K$25</c:f>
                <c:numCache>
                  <c:formatCode>General</c:formatCode>
                  <c:ptCount val="4"/>
                  <c:pt idx="0">
                    <c:v>0.1616870840650256</c:v>
                  </c:pt>
                  <c:pt idx="1">
                    <c:v>0.14460972274703096</c:v>
                  </c:pt>
                  <c:pt idx="2">
                    <c:v>0.11082119081971788</c:v>
                  </c:pt>
                  <c:pt idx="3">
                    <c:v>8.983333016779467E-2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Theta_power!$H$23:$K$23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Theta_power!$H$24:$K$24</c:f>
              <c:numCache>
                <c:formatCode>General</c:formatCode>
                <c:ptCount val="4"/>
                <c:pt idx="0">
                  <c:v>2.6196301780833705E-2</c:v>
                </c:pt>
                <c:pt idx="1">
                  <c:v>4.8917017356403358E-2</c:v>
                </c:pt>
                <c:pt idx="2">
                  <c:v>2.7086116431035857E-2</c:v>
                </c:pt>
                <c:pt idx="3">
                  <c:v>2.8988271036831083E-2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8-4C37-BD12-37A96D697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595736"/>
        <c:axId val="428594424"/>
      </c:barChart>
      <c:catAx>
        <c:axId val="42859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94424"/>
        <c:crosses val="autoZero"/>
        <c:auto val="1"/>
        <c:lblAlgn val="ctr"/>
        <c:lblOffset val="100"/>
        <c:noMultiLvlLbl val="0"/>
      </c:catAx>
      <c:valAx>
        <c:axId val="42859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95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</a:t>
            </a:r>
            <a:r>
              <a:rPr lang="en-GB" baseline="0"/>
              <a:t> power covariance Theta channel 21 (CP6)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Theta_power!$N$25:$Q$25</c:f>
                <c:numCache>
                  <c:formatCode>General</c:formatCode>
                  <c:ptCount val="4"/>
                  <c:pt idx="0">
                    <c:v>8.3289769878363104E-2</c:v>
                  </c:pt>
                  <c:pt idx="1">
                    <c:v>0.10097641704272538</c:v>
                  </c:pt>
                  <c:pt idx="2">
                    <c:v>0.14402616971130636</c:v>
                  </c:pt>
                  <c:pt idx="3">
                    <c:v>6.8346489267897104E-2</c:v>
                  </c:pt>
                </c:numCache>
              </c:numRef>
            </c:plus>
            <c:minus>
              <c:numRef>
                <c:f>Theta_power!$N$25:$Q$25</c:f>
                <c:numCache>
                  <c:formatCode>General</c:formatCode>
                  <c:ptCount val="4"/>
                  <c:pt idx="0">
                    <c:v>8.3289769878363104E-2</c:v>
                  </c:pt>
                  <c:pt idx="1">
                    <c:v>0.10097641704272538</c:v>
                  </c:pt>
                  <c:pt idx="2">
                    <c:v>0.14402616971130636</c:v>
                  </c:pt>
                  <c:pt idx="3">
                    <c:v>6.8346489267897104E-2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Theta_power!$N$23:$Q$23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Theta_power!$N$24:$Q$24</c:f>
              <c:numCache>
                <c:formatCode>General</c:formatCode>
                <c:ptCount val="4"/>
                <c:pt idx="0">
                  <c:v>3.2358378686916878E-2</c:v>
                </c:pt>
                <c:pt idx="1">
                  <c:v>1.3062260867868394E-2</c:v>
                </c:pt>
                <c:pt idx="2">
                  <c:v>2.0916171197398126E-2</c:v>
                </c:pt>
                <c:pt idx="3">
                  <c:v>3.4094367961504793E-2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F-4CAB-B5F4-F4FD9F216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156912"/>
        <c:axId val="458155272"/>
      </c:barChart>
      <c:catAx>
        <c:axId val="45815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55272"/>
        <c:crosses val="autoZero"/>
        <c:auto val="1"/>
        <c:lblAlgn val="ctr"/>
        <c:lblOffset val="100"/>
        <c:noMultiLvlLbl val="0"/>
      </c:catAx>
      <c:valAx>
        <c:axId val="45815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5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 power covariance Gamma channel 4 (F3)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Gamma_power!$B$25:$E$25</c:f>
                <c:numCache>
                  <c:formatCode>General</c:formatCode>
                  <c:ptCount val="4"/>
                  <c:pt idx="0">
                    <c:v>1.2325467969494952</c:v>
                  </c:pt>
                  <c:pt idx="1">
                    <c:v>0.11439845270734429</c:v>
                  </c:pt>
                  <c:pt idx="2">
                    <c:v>8.3864499226371236E-2</c:v>
                  </c:pt>
                  <c:pt idx="3">
                    <c:v>5.8944857662170155E-2</c:v>
                  </c:pt>
                </c:numCache>
              </c:numRef>
            </c:plus>
            <c:minus>
              <c:numRef>
                <c:f>Gamma_power!$B$25:$E$25</c:f>
                <c:numCache>
                  <c:formatCode>General</c:formatCode>
                  <c:ptCount val="4"/>
                  <c:pt idx="0">
                    <c:v>1.2325467969494952</c:v>
                  </c:pt>
                  <c:pt idx="1">
                    <c:v>0.11439845270734429</c:v>
                  </c:pt>
                  <c:pt idx="2">
                    <c:v>8.3864499226371236E-2</c:v>
                  </c:pt>
                  <c:pt idx="3">
                    <c:v>5.8944857662170155E-2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Gamma_power!$B$23:$E$23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Gamma_power!$B$24:$E$24</c:f>
              <c:numCache>
                <c:formatCode>General</c:formatCode>
                <c:ptCount val="4"/>
                <c:pt idx="0">
                  <c:v>-0.25373035380886422</c:v>
                </c:pt>
                <c:pt idx="1">
                  <c:v>4.281081494320829E-3</c:v>
                </c:pt>
                <c:pt idx="2">
                  <c:v>1.4494730488431862E-2</c:v>
                </c:pt>
                <c:pt idx="3">
                  <c:v>1.1543615365562357E-2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2-4971-AF7F-45BB35FC5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359224"/>
        <c:axId val="458590416"/>
      </c:barChart>
      <c:catAx>
        <c:axId val="45835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590416"/>
        <c:crosses val="autoZero"/>
        <c:auto val="1"/>
        <c:lblAlgn val="ctr"/>
        <c:lblOffset val="100"/>
        <c:noMultiLvlLbl val="0"/>
      </c:catAx>
      <c:valAx>
        <c:axId val="45859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5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</a:t>
            </a:r>
            <a:r>
              <a:rPr lang="en-GB" baseline="0"/>
              <a:t> power covariance Gamma channel 17 (TP9)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Gamma_power!$H$25:$K$25</c:f>
                <c:numCache>
                  <c:formatCode>General</c:formatCode>
                  <c:ptCount val="4"/>
                  <c:pt idx="0">
                    <c:v>9.0689151536675339E-2</c:v>
                  </c:pt>
                  <c:pt idx="1">
                    <c:v>7.7285456895478527E-2</c:v>
                  </c:pt>
                  <c:pt idx="2">
                    <c:v>6.2744549278588885E-2</c:v>
                  </c:pt>
                  <c:pt idx="3">
                    <c:v>9.0284569831737826E-2</c:v>
                  </c:pt>
                </c:numCache>
              </c:numRef>
            </c:plus>
            <c:minus>
              <c:numRef>
                <c:f>Gamma_power!$H$25:$K$25</c:f>
                <c:numCache>
                  <c:formatCode>General</c:formatCode>
                  <c:ptCount val="4"/>
                  <c:pt idx="0">
                    <c:v>9.0689151536675339E-2</c:v>
                  </c:pt>
                  <c:pt idx="1">
                    <c:v>7.7285456895478527E-2</c:v>
                  </c:pt>
                  <c:pt idx="2">
                    <c:v>6.2744549278588885E-2</c:v>
                  </c:pt>
                  <c:pt idx="3">
                    <c:v>9.0284569831737826E-2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Gamma_power!$H$23:$K$23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Gamma_power!$H$24:$K$24</c:f>
              <c:numCache>
                <c:formatCode>General</c:formatCode>
                <c:ptCount val="4"/>
                <c:pt idx="0">
                  <c:v>1.7694618223189091E-2</c:v>
                </c:pt>
                <c:pt idx="1">
                  <c:v>3.3318980919855626E-3</c:v>
                </c:pt>
                <c:pt idx="2">
                  <c:v>4.6012703028012799E-3</c:v>
                </c:pt>
                <c:pt idx="3">
                  <c:v>2.7638853478081135E-4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2-41E8-B96B-8FC8FAB67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388344"/>
        <c:axId val="460389000"/>
      </c:barChart>
      <c:catAx>
        <c:axId val="46038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89000"/>
        <c:crosses val="autoZero"/>
        <c:auto val="1"/>
        <c:lblAlgn val="ctr"/>
        <c:lblOffset val="100"/>
        <c:noMultiLvlLbl val="0"/>
      </c:catAx>
      <c:valAx>
        <c:axId val="46038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88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 power covariance</a:t>
            </a:r>
            <a:r>
              <a:rPr lang="en-GB" baseline="0"/>
              <a:t> Gamma channel 27 (P8)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Gamma_power!$N$25:$Q$25</c:f>
                <c:numCache>
                  <c:formatCode>General</c:formatCode>
                  <c:ptCount val="4"/>
                  <c:pt idx="0">
                    <c:v>7.267378166163331E-2</c:v>
                  </c:pt>
                  <c:pt idx="1">
                    <c:v>5.3048453044734468E-2</c:v>
                  </c:pt>
                  <c:pt idx="2">
                    <c:v>8.6954366501644217E-2</c:v>
                  </c:pt>
                  <c:pt idx="3">
                    <c:v>4.7713524300611189E-2</c:v>
                  </c:pt>
                </c:numCache>
              </c:numRef>
            </c:plus>
            <c:minus>
              <c:numRef>
                <c:f>Gamma_power!$N$25:$Q$25</c:f>
                <c:numCache>
                  <c:formatCode>General</c:formatCode>
                  <c:ptCount val="4"/>
                  <c:pt idx="0">
                    <c:v>7.267378166163331E-2</c:v>
                  </c:pt>
                  <c:pt idx="1">
                    <c:v>5.3048453044734468E-2</c:v>
                  </c:pt>
                  <c:pt idx="2">
                    <c:v>8.6954366501644217E-2</c:v>
                  </c:pt>
                  <c:pt idx="3">
                    <c:v>4.7713524300611189E-2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Gamma_power!$N$23:$Q$23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Gamma_power!$N$24:$Q$24</c:f>
              <c:numCache>
                <c:formatCode>General</c:formatCode>
                <c:ptCount val="4"/>
                <c:pt idx="0">
                  <c:v>-1.0666446687894047E-2</c:v>
                </c:pt>
                <c:pt idx="1">
                  <c:v>3.2067865104203806E-2</c:v>
                </c:pt>
                <c:pt idx="2">
                  <c:v>-6.7367529918873443E-3</c:v>
                </c:pt>
                <c:pt idx="3">
                  <c:v>1.4013684970825533E-2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B-4FE1-AB53-4FC9EEF2F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757664"/>
        <c:axId val="459756680"/>
      </c:barChart>
      <c:catAx>
        <c:axId val="4597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756680"/>
        <c:crosses val="autoZero"/>
        <c:auto val="1"/>
        <c:lblAlgn val="ctr"/>
        <c:lblOffset val="100"/>
        <c:noMultiLvlLbl val="0"/>
      </c:catAx>
      <c:valAx>
        <c:axId val="45975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75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</a:t>
            </a:r>
            <a:r>
              <a:rPr lang="en-GB" baseline="0"/>
              <a:t> power covariance Alpha channel 30 (Oz)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Alpha_power!$B$25:$E$25</c:f>
                <c:numCache>
                  <c:formatCode>General</c:formatCode>
                  <c:ptCount val="4"/>
                  <c:pt idx="0">
                    <c:v>0.15744889353490216</c:v>
                  </c:pt>
                  <c:pt idx="1">
                    <c:v>0.18260777133245035</c:v>
                  </c:pt>
                  <c:pt idx="2">
                    <c:v>8.9259973783902991E-2</c:v>
                  </c:pt>
                  <c:pt idx="3">
                    <c:v>9.864553778337852E-2</c:v>
                  </c:pt>
                </c:numCache>
              </c:numRef>
            </c:plus>
            <c:minus>
              <c:numRef>
                <c:f>Alpha_power!$B$25:$E$25</c:f>
                <c:numCache>
                  <c:formatCode>General</c:formatCode>
                  <c:ptCount val="4"/>
                  <c:pt idx="0">
                    <c:v>0.15744889353490216</c:v>
                  </c:pt>
                  <c:pt idx="1">
                    <c:v>0.18260777133245035</c:v>
                  </c:pt>
                  <c:pt idx="2">
                    <c:v>8.9259973783902991E-2</c:v>
                  </c:pt>
                  <c:pt idx="3">
                    <c:v>9.864553778337852E-2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Alpha_power!$B$23:$E$23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Alpha_power!$B$24:$E$24</c:f>
              <c:numCache>
                <c:formatCode>General</c:formatCode>
                <c:ptCount val="4"/>
                <c:pt idx="0">
                  <c:v>2.8770125153275736E-2</c:v>
                </c:pt>
                <c:pt idx="1">
                  <c:v>-3.8495563858022525E-2</c:v>
                </c:pt>
                <c:pt idx="2">
                  <c:v>1.0711823576599763E-2</c:v>
                </c:pt>
                <c:pt idx="3">
                  <c:v>-4.7778617269117739E-4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B-4DD8-BD2C-E3704A761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973800"/>
        <c:axId val="460974128"/>
      </c:barChart>
      <c:catAx>
        <c:axId val="46097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74128"/>
        <c:crosses val="autoZero"/>
        <c:auto val="1"/>
        <c:lblAlgn val="ctr"/>
        <c:lblOffset val="100"/>
        <c:noMultiLvlLbl val="0"/>
      </c:catAx>
      <c:valAx>
        <c:axId val="4609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7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 power covariance Alpha</a:t>
            </a:r>
            <a:r>
              <a:rPr lang="en-GB" baseline="0"/>
              <a:t> channel 31 (O2)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Alpha_power!$H$25:$K$25</c:f>
                <c:numCache>
                  <c:formatCode>General</c:formatCode>
                  <c:ptCount val="4"/>
                  <c:pt idx="0">
                    <c:v>0.76496362858223277</c:v>
                  </c:pt>
                  <c:pt idx="1">
                    <c:v>0.16346877367372464</c:v>
                  </c:pt>
                  <c:pt idx="2">
                    <c:v>0.1276151805286283</c:v>
                  </c:pt>
                  <c:pt idx="3">
                    <c:v>0.10983020018619262</c:v>
                  </c:pt>
                </c:numCache>
              </c:numRef>
            </c:plus>
            <c:minus>
              <c:numRef>
                <c:f>Alpha_power!$H$25:$K$25</c:f>
                <c:numCache>
                  <c:formatCode>General</c:formatCode>
                  <c:ptCount val="4"/>
                  <c:pt idx="0">
                    <c:v>0.76496362858223277</c:v>
                  </c:pt>
                  <c:pt idx="1">
                    <c:v>0.16346877367372464</c:v>
                  </c:pt>
                  <c:pt idx="2">
                    <c:v>0.1276151805286283</c:v>
                  </c:pt>
                  <c:pt idx="3">
                    <c:v>0.10983020018619262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Alpha_power!$H$23:$K$23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Alpha_power!$H$24:$K$24</c:f>
              <c:numCache>
                <c:formatCode>General</c:formatCode>
                <c:ptCount val="4"/>
                <c:pt idx="0">
                  <c:v>-0.1046000078079493</c:v>
                </c:pt>
                <c:pt idx="1">
                  <c:v>6.5059586695669538E-2</c:v>
                </c:pt>
                <c:pt idx="2">
                  <c:v>2.2516832686925434E-2</c:v>
                </c:pt>
                <c:pt idx="3">
                  <c:v>6.3428644766751778E-3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5-4AC3-A02A-BCDFC5DB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039456"/>
        <c:axId val="461038800"/>
      </c:barChart>
      <c:catAx>
        <c:axId val="46103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38800"/>
        <c:crosses val="autoZero"/>
        <c:auto val="1"/>
        <c:lblAlgn val="ctr"/>
        <c:lblOffset val="100"/>
        <c:noMultiLvlLbl val="0"/>
      </c:catAx>
      <c:valAx>
        <c:axId val="4610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3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Zscored power covariance Alpha channel 29 (O1)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Alpha_power!$N$25:$Q$25</c:f>
                <c:numCache>
                  <c:formatCode>General</c:formatCode>
                  <c:ptCount val="4"/>
                  <c:pt idx="0">
                    <c:v>0.29312990128617733</c:v>
                  </c:pt>
                  <c:pt idx="1">
                    <c:v>0.22094851136289684</c:v>
                  </c:pt>
                  <c:pt idx="2">
                    <c:v>9.1427086152878437E-2</c:v>
                  </c:pt>
                  <c:pt idx="3">
                    <c:v>0.1026193298813991</c:v>
                  </c:pt>
                </c:numCache>
              </c:numRef>
            </c:plus>
            <c:minus>
              <c:numRef>
                <c:f>Alpha_power!$N$25:$Q$25</c:f>
                <c:numCache>
                  <c:formatCode>General</c:formatCode>
                  <c:ptCount val="4"/>
                  <c:pt idx="0">
                    <c:v>0.29312990128617733</c:v>
                  </c:pt>
                  <c:pt idx="1">
                    <c:v>0.22094851136289684</c:v>
                  </c:pt>
                  <c:pt idx="2">
                    <c:v>9.1427086152878437E-2</c:v>
                  </c:pt>
                  <c:pt idx="3">
                    <c:v>0.1026193298813991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Alpha_power!$N$23:$Q$23</c:f>
              <c:strCache>
                <c:ptCount val="4"/>
                <c:pt idx="0">
                  <c:v>English Strong</c:v>
                </c:pt>
                <c:pt idx="1">
                  <c:v>English Weak</c:v>
                </c:pt>
                <c:pt idx="2">
                  <c:v>Russian Strong</c:v>
                </c:pt>
                <c:pt idx="3">
                  <c:v>Russian Weak</c:v>
                </c:pt>
              </c:strCache>
            </c:strRef>
          </c:cat>
          <c:val>
            <c:numRef>
              <c:f>Alpha_power!$N$24:$Q$24</c:f>
              <c:numCache>
                <c:formatCode>General</c:formatCode>
                <c:ptCount val="4"/>
                <c:pt idx="0">
                  <c:v>-3.2494367930974523E-2</c:v>
                </c:pt>
                <c:pt idx="1">
                  <c:v>-5.3491996188996305E-2</c:v>
                </c:pt>
                <c:pt idx="2">
                  <c:v>2.2296263393879918E-2</c:v>
                </c:pt>
                <c:pt idx="3">
                  <c:v>3.1723733081451461E-2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8-4DEA-AFC8-31075744D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619272"/>
        <c:axId val="461618944"/>
      </c:barChart>
      <c:catAx>
        <c:axId val="46161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18944"/>
        <c:crosses val="autoZero"/>
        <c:auto val="1"/>
        <c:lblAlgn val="ctr"/>
        <c:lblOffset val="100"/>
        <c:noMultiLvlLbl val="0"/>
      </c:catAx>
      <c:valAx>
        <c:axId val="4616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1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4</xdr:row>
      <xdr:rowOff>57150</xdr:rowOff>
    </xdr:from>
    <xdr:to>
      <xdr:col>4</xdr:col>
      <xdr:colOff>1447800</xdr:colOff>
      <xdr:row>18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6D2E20-999B-4D4A-980F-3FF64CF09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309562</xdr:colOff>
      <xdr:row>4</xdr:row>
      <xdr:rowOff>38100</xdr:rowOff>
    </xdr:from>
    <xdr:to>
      <xdr:col>13</xdr:col>
      <xdr:colOff>4762</xdr:colOff>
      <xdr:row>18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414D4E-3872-46E2-8F1D-9FF758E38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157162</xdr:colOff>
      <xdr:row>3</xdr:row>
      <xdr:rowOff>76200</xdr:rowOff>
    </xdr:from>
    <xdr:to>
      <xdr:col>20</xdr:col>
      <xdr:colOff>461962</xdr:colOff>
      <xdr:row>17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540BDD-764B-4258-B958-CC87C8AED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7</xdr:col>
      <xdr:colOff>47625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CB40F-F391-4969-AE7E-2C216318F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604837</xdr:colOff>
      <xdr:row>29</xdr:row>
      <xdr:rowOff>66675</xdr:rowOff>
    </xdr:from>
    <xdr:to>
      <xdr:col>12</xdr:col>
      <xdr:colOff>223837</xdr:colOff>
      <xdr:row>43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640987-20F9-4E4B-9DD4-F5220C6CF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423862</xdr:colOff>
      <xdr:row>1</xdr:row>
      <xdr:rowOff>133350</xdr:rowOff>
    </xdr:from>
    <xdr:to>
      <xdr:col>19</xdr:col>
      <xdr:colOff>604837</xdr:colOff>
      <xdr:row>16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189C1F-F65C-478A-9428-BE7FFB2E6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7</xdr:col>
      <xdr:colOff>209550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46BAA9-32A3-45E6-A8BF-F7FB43391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495301</xdr:colOff>
      <xdr:row>8</xdr:row>
      <xdr:rowOff>119061</xdr:rowOff>
    </xdr:from>
    <xdr:to>
      <xdr:col>6</xdr:col>
      <xdr:colOff>47624</xdr:colOff>
      <xdr:row>9</xdr:row>
      <xdr:rowOff>171449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6D2F2B06-1E81-4C62-81F6-E66F05DC4C77}"/>
            </a:ext>
          </a:extLst>
        </xdr:cNvPr>
        <xdr:cNvSpPr/>
      </xdr:nvSpPr>
      <xdr:spPr>
        <a:xfrm rot="16200000">
          <a:off x="3293269" y="1378743"/>
          <a:ext cx="242888" cy="771523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414337</xdr:colOff>
      <xdr:row>26</xdr:row>
      <xdr:rowOff>114300</xdr:rowOff>
    </xdr:from>
    <xdr:to>
      <xdr:col>12</xdr:col>
      <xdr:colOff>109537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0B6FFD-A369-4497-A47A-0924881D2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328612</xdr:colOff>
      <xdr:row>4</xdr:row>
      <xdr:rowOff>142875</xdr:rowOff>
    </xdr:from>
    <xdr:to>
      <xdr:col>19</xdr:col>
      <xdr:colOff>23812</xdr:colOff>
      <xdr:row>19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2FB59A-B1A5-4847-B72F-69CEEF88C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0.72188</cdr:x>
      <cdr:y>0.28819</cdr:y>
    </cdr:from>
    <cdr:to>
      <cdr:x>0.81563</cdr:x>
      <cdr:y>0.47917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B63A70-DB26-4B60-8468-B0C3A3F6AD33}"/>
            </a:ext>
          </a:extLst>
        </cdr:cNvPr>
        <cdr:cNvSpPr txBox="1"/>
      </cdr:nvSpPr>
      <cdr:spPr>
        <a:xfrm xmlns:a="http://schemas.openxmlformats.org/drawingml/2006/main">
          <a:off x="3300413" y="790575"/>
          <a:ext cx="428625" cy="523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400"/>
            <a:t>*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5</xdr:row>
      <xdr:rowOff>95250</xdr:rowOff>
    </xdr:from>
    <xdr:to>
      <xdr:col>7</xdr:col>
      <xdr:colOff>442912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5DBEC6-A6E3-46DB-A3F7-0029B31CA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490537</xdr:colOff>
      <xdr:row>25</xdr:row>
      <xdr:rowOff>38100</xdr:rowOff>
    </xdr:from>
    <xdr:to>
      <xdr:col>12</xdr:col>
      <xdr:colOff>185737</xdr:colOff>
      <xdr:row>39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50991E-CD5F-4C74-9D5C-7FAB08011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404812</xdr:colOff>
      <xdr:row>3</xdr:row>
      <xdr:rowOff>171450</xdr:rowOff>
    </xdr:from>
    <xdr:to>
      <xdr:col>19</xdr:col>
      <xdr:colOff>100012</xdr:colOff>
      <xdr:row>18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054F0B-2EE1-4246-B21E-64AA09B80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38100</xdr:rowOff>
    </xdr:from>
    <xdr:to>
      <xdr:col>7</xdr:col>
      <xdr:colOff>304800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21C22-A155-414E-97DC-804FB40FD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490537</xdr:colOff>
      <xdr:row>27</xdr:row>
      <xdr:rowOff>171450</xdr:rowOff>
    </xdr:from>
    <xdr:to>
      <xdr:col>13</xdr:col>
      <xdr:colOff>185737</xdr:colOff>
      <xdr:row>42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E7DD50-BE39-430B-8B88-2C8DF1131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271462</xdr:colOff>
      <xdr:row>4</xdr:row>
      <xdr:rowOff>57150</xdr:rowOff>
    </xdr:from>
    <xdr:to>
      <xdr:col>20</xdr:col>
      <xdr:colOff>576262</xdr:colOff>
      <xdr:row>18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81CE44-3B8C-4028-8492-075637F6A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142875</xdr:rowOff>
    </xdr:from>
    <xdr:to>
      <xdr:col>7</xdr:col>
      <xdr:colOff>304800</xdr:colOff>
      <xdr:row>45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8C3B30-ED17-4E65-AAB6-DEE15A157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223837</xdr:colOff>
      <xdr:row>5</xdr:row>
      <xdr:rowOff>57150</xdr:rowOff>
    </xdr:from>
    <xdr:to>
      <xdr:col>12</xdr:col>
      <xdr:colOff>528637</xdr:colOff>
      <xdr:row>19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5F1453-263B-4E29-8431-3D3EFEE96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33337</xdr:colOff>
      <xdr:row>4</xdr:row>
      <xdr:rowOff>180975</xdr:rowOff>
    </xdr:from>
    <xdr:to>
      <xdr:col>21</xdr:col>
      <xdr:colOff>338137</xdr:colOff>
      <xdr:row>19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25FA45-6023-4BBC-8E65-697A5563D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3114-18B7-4AD2-9540-BE4FB35A5789}">
  <dimension ref="A1:Q30"/>
  <sheetViews>
    <sheetView topLeftCell="C1" workbookViewId="0">
      <selection activeCell="H23" sqref="H23:K23"/>
    </sheetView>
  </sheetViews>
  <sheetFormatPr defaultRowHeight="15" x14ac:dyDescent="0.25"/>
  <cols>
    <col min="2" max="2" width="18.28515625" customWidth="1"/>
    <col min="3" max="3" width="17.28515625" customWidth="1"/>
    <col min="4" max="4" width="18.85546875" customWidth="1"/>
    <col min="5" max="5" width="25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1</v>
      </c>
      <c r="I1" t="s">
        <v>2</v>
      </c>
      <c r="J1" t="s">
        <v>3</v>
      </c>
      <c r="K1" t="s">
        <v>4</v>
      </c>
      <c r="M1" t="s">
        <v>6</v>
      </c>
      <c r="N1" t="s">
        <v>1</v>
      </c>
      <c r="O1" t="s">
        <v>2</v>
      </c>
      <c r="P1" t="s">
        <v>3</v>
      </c>
      <c r="Q1" t="s">
        <v>4</v>
      </c>
    </row>
    <row r="2" spans="1:17" x14ac:dyDescent="0.25">
      <c r="B2">
        <v>0.100752506069437</v>
      </c>
      <c r="C2">
        <v>1.0418970374625899E-2</v>
      </c>
      <c r="D2">
        <v>4.4968553534793898E-2</v>
      </c>
      <c r="E2">
        <v>-4.2569512498293799E-2</v>
      </c>
      <c r="H2">
        <v>-3.3729876338834203E-2</v>
      </c>
      <c r="I2">
        <v>1.2410077157569E-2</v>
      </c>
      <c r="J2">
        <v>1.8212884091226601E-2</v>
      </c>
      <c r="K2">
        <v>0.134200624131004</v>
      </c>
      <c r="N2">
        <v>0.18850495926070901</v>
      </c>
      <c r="O2">
        <v>5.4850850531200403E-2</v>
      </c>
      <c r="P2">
        <v>5.0957435652312803E-2</v>
      </c>
      <c r="Q2">
        <v>-4.8759989860402003E-2</v>
      </c>
    </row>
    <row r="3" spans="1:17" x14ac:dyDescent="0.25">
      <c r="B3">
        <v>0.15551778813063699</v>
      </c>
      <c r="C3">
        <v>7.9304018934935896E-2</v>
      </c>
      <c r="D3">
        <v>0.11971326467745</v>
      </c>
      <c r="E3">
        <v>-5.4108968707756097E-2</v>
      </c>
      <c r="H3">
        <v>0.111795096090313</v>
      </c>
      <c r="I3">
        <v>0.16877374187302899</v>
      </c>
      <c r="J3">
        <v>0.178058088066118</v>
      </c>
      <c r="K3">
        <v>0.121069750496185</v>
      </c>
      <c r="N3">
        <v>0.231847239555492</v>
      </c>
      <c r="O3">
        <v>0.141354522728106</v>
      </c>
      <c r="P3">
        <v>3.101131495551E-3</v>
      </c>
      <c r="Q3">
        <v>-9.5924650779885094E-3</v>
      </c>
    </row>
    <row r="4" spans="1:17" x14ac:dyDescent="0.25">
      <c r="B4">
        <v>-5.6666957203448901E-2</v>
      </c>
      <c r="C4">
        <v>3.8595834951756003E-2</v>
      </c>
      <c r="D4">
        <v>6.8494534597965201E-2</v>
      </c>
      <c r="E4">
        <v>3.7715783478028002E-2</v>
      </c>
      <c r="H4">
        <v>-0.10623265578068</v>
      </c>
      <c r="I4">
        <v>-0.110948734907538</v>
      </c>
      <c r="J4">
        <v>0.16245618885061799</v>
      </c>
      <c r="K4">
        <v>4.8037361504692601E-2</v>
      </c>
      <c r="N4">
        <v>-8.8615065065801399E-2</v>
      </c>
      <c r="O4">
        <v>-1.7245718806744598E-2</v>
      </c>
      <c r="P4">
        <v>0.139254001571014</v>
      </c>
      <c r="Q4">
        <v>3.66756350190207E-2</v>
      </c>
    </row>
    <row r="5" spans="1:17" x14ac:dyDescent="0.25">
      <c r="B5">
        <v>-6.3339759887055203E-2</v>
      </c>
      <c r="C5">
        <v>5.63766764146977E-2</v>
      </c>
      <c r="D5">
        <v>0.64481721224892896</v>
      </c>
      <c r="E5">
        <v>7.4903792728624796E-2</v>
      </c>
      <c r="H5">
        <v>0.41282823245695499</v>
      </c>
      <c r="I5">
        <v>0.56365384655752504</v>
      </c>
      <c r="J5">
        <v>1.59402354677655</v>
      </c>
      <c r="K5">
        <v>3.1384563575119498E-2</v>
      </c>
      <c r="N5">
        <v>0.18825378936565901</v>
      </c>
      <c r="O5">
        <v>0.40015011008204399</v>
      </c>
      <c r="P5">
        <v>1.2812833726961901</v>
      </c>
      <c r="Q5">
        <v>0.10429146663952001</v>
      </c>
    </row>
    <row r="6" spans="1:17" x14ac:dyDescent="0.25">
      <c r="B6">
        <v>-2.3812984666364601E-2</v>
      </c>
      <c r="C6">
        <v>9.0841036740262004E-2</v>
      </c>
      <c r="D6">
        <v>1.8124019883623801E-2</v>
      </c>
      <c r="E6">
        <v>7.4462667332353294E-2</v>
      </c>
      <c r="H6">
        <v>8.5818788971927407E-2</v>
      </c>
      <c r="I6">
        <v>0.111512262341151</v>
      </c>
      <c r="J6">
        <v>0.13951949738288899</v>
      </c>
      <c r="K6">
        <v>0.17500503733119299</v>
      </c>
      <c r="N6">
        <v>-2.2856371645367201E-2</v>
      </c>
      <c r="O6">
        <v>2.3131552922954799E-2</v>
      </c>
      <c r="P6">
        <v>-3.06324666886192E-2</v>
      </c>
      <c r="Q6">
        <v>3.00416614438586E-2</v>
      </c>
    </row>
    <row r="7" spans="1:17" x14ac:dyDescent="0.25">
      <c r="B7">
        <v>3.6666309554176803E-2</v>
      </c>
      <c r="C7">
        <v>4.1585602095940297E-2</v>
      </c>
      <c r="D7">
        <v>6.4062057086523003E-2</v>
      </c>
      <c r="E7">
        <v>2.8801774837983799E-2</v>
      </c>
      <c r="H7">
        <v>-2.0993693874222501E-2</v>
      </c>
      <c r="I7">
        <v>-0.107123797649568</v>
      </c>
      <c r="J7">
        <v>0.17007947536654</v>
      </c>
      <c r="K7">
        <v>0.126284671604247</v>
      </c>
      <c r="N7">
        <v>0.13392258557515599</v>
      </c>
      <c r="O7">
        <v>0.18019130461034699</v>
      </c>
      <c r="P7">
        <v>0.14206787652389799</v>
      </c>
      <c r="Q7">
        <v>4.6478397750210197E-2</v>
      </c>
    </row>
    <row r="8" spans="1:17" x14ac:dyDescent="0.25">
      <c r="B8">
        <v>8.9035977174685393E-2</v>
      </c>
      <c r="C8">
        <v>2.9949600890560198E-2</v>
      </c>
      <c r="D8">
        <v>0.10583505394166499</v>
      </c>
      <c r="E8">
        <v>0.15546115583824099</v>
      </c>
      <c r="H8">
        <v>8.5926561129295906E-2</v>
      </c>
      <c r="I8">
        <v>5.87332870388299E-2</v>
      </c>
      <c r="J8">
        <v>0.26151421441286599</v>
      </c>
      <c r="K8">
        <v>-1.2624404454335599E-2</v>
      </c>
      <c r="N8">
        <v>6.8338752078016804E-2</v>
      </c>
      <c r="O8">
        <v>-3.1215272102842898E-3</v>
      </c>
      <c r="P8">
        <v>8.2229092341599502E-2</v>
      </c>
      <c r="Q8">
        <v>0.14082997808466299</v>
      </c>
    </row>
    <row r="9" spans="1:17" x14ac:dyDescent="0.25">
      <c r="B9">
        <v>9.3454263466699501E-3</v>
      </c>
      <c r="C9">
        <v>4.9874974677179003E-2</v>
      </c>
      <c r="D9">
        <v>0.14415138453252499</v>
      </c>
      <c r="E9">
        <v>0.13984804545559701</v>
      </c>
      <c r="H9">
        <v>1.9410739889629498E-2</v>
      </c>
      <c r="I9">
        <v>-2.1867126368905601E-2</v>
      </c>
      <c r="J9">
        <v>1.6504190287805299E-2</v>
      </c>
      <c r="K9">
        <v>3.4970942389195001E-2</v>
      </c>
      <c r="N9">
        <v>0.136565328726447</v>
      </c>
      <c r="O9">
        <v>6.6862184613397796E-2</v>
      </c>
      <c r="P9">
        <v>6.6428745301051195E-2</v>
      </c>
      <c r="Q9">
        <v>8.2284770510293506E-3</v>
      </c>
    </row>
    <row r="10" spans="1:17" x14ac:dyDescent="0.25">
      <c r="B10">
        <v>1.19907439444705E-3</v>
      </c>
      <c r="C10">
        <v>-4.07825479363935E-2</v>
      </c>
      <c r="D10" s="1">
        <v>4.2449928063237303E-5</v>
      </c>
      <c r="E10">
        <v>0.116409199734784</v>
      </c>
      <c r="H10">
        <v>8.9463167030010102E-2</v>
      </c>
      <c r="I10">
        <v>0.13209083035410599</v>
      </c>
      <c r="J10">
        <v>-4.5334551825799298E-2</v>
      </c>
      <c r="K10">
        <v>-2.03048868262381E-2</v>
      </c>
      <c r="N10">
        <v>8.0685476564074293E-2</v>
      </c>
      <c r="O10">
        <v>0.111376167314365</v>
      </c>
      <c r="P10">
        <v>2.7166465843378E-2</v>
      </c>
      <c r="Q10">
        <v>5.6753479333647397E-2</v>
      </c>
    </row>
    <row r="11" spans="1:17" x14ac:dyDescent="0.25">
      <c r="B11">
        <v>-0.117734007052303</v>
      </c>
      <c r="C11">
        <v>-6.3708701996069803E-2</v>
      </c>
      <c r="D11">
        <v>4.1007051393185799E-2</v>
      </c>
      <c r="E11">
        <v>0.123686428513748</v>
      </c>
      <c r="H11">
        <v>0.397344729272258</v>
      </c>
      <c r="I11">
        <v>0.29251156166908898</v>
      </c>
      <c r="J11">
        <v>-4.7228444608540199E-2</v>
      </c>
      <c r="K11">
        <v>5.9010711882604303E-2</v>
      </c>
      <c r="N11">
        <v>3.83455007405374E-2</v>
      </c>
      <c r="O11">
        <v>5.7044015074970297E-2</v>
      </c>
      <c r="P11">
        <v>-3.0759042214805301E-3</v>
      </c>
      <c r="Q11">
        <v>0.163296114804339</v>
      </c>
    </row>
    <row r="12" spans="1:17" x14ac:dyDescent="0.25">
      <c r="B12">
        <v>0.157678933845256</v>
      </c>
      <c r="C12">
        <v>0.165605866337383</v>
      </c>
      <c r="D12">
        <v>6.5009914665160401E-2</v>
      </c>
      <c r="E12">
        <v>-1.6590253283044601E-2</v>
      </c>
      <c r="H12">
        <v>7.7587706058899697E-2</v>
      </c>
      <c r="I12">
        <v>3.3639138428637999E-2</v>
      </c>
      <c r="J12">
        <v>0.11748650102784999</v>
      </c>
      <c r="K12">
        <v>1.38040157636113E-2</v>
      </c>
      <c r="N12">
        <v>0.105696901578965</v>
      </c>
      <c r="O12">
        <v>0.17339036684647099</v>
      </c>
      <c r="P12">
        <v>8.1683884088250298E-3</v>
      </c>
      <c r="Q12">
        <v>1.88912908525363E-2</v>
      </c>
    </row>
    <row r="13" spans="1:17" x14ac:dyDescent="0.25">
      <c r="B13">
        <v>0.13808325802378599</v>
      </c>
      <c r="C13">
        <v>7.5748882577993004E-2</v>
      </c>
      <c r="D13">
        <v>6.63643204010749E-2</v>
      </c>
      <c r="E13">
        <v>4.7147498192702503E-2</v>
      </c>
      <c r="H13">
        <v>-4.0584013715234901E-2</v>
      </c>
      <c r="I13">
        <v>-3.8772190892562002E-2</v>
      </c>
      <c r="J13">
        <v>0.12236767967395699</v>
      </c>
      <c r="K13">
        <v>-1.7765728043849498E-2</v>
      </c>
      <c r="N13">
        <v>0.113044668066869</v>
      </c>
      <c r="O13">
        <v>0.14927294209835201</v>
      </c>
      <c r="P13">
        <v>-1.0048545650155E-2</v>
      </c>
      <c r="Q13">
        <v>-4.38772054958389E-2</v>
      </c>
    </row>
    <row r="14" spans="1:17" x14ac:dyDescent="0.25">
      <c r="B14">
        <v>0.122594016783778</v>
      </c>
      <c r="C14">
        <v>1.2725686950229599E-3</v>
      </c>
      <c r="D14">
        <v>9.3934044662131497E-2</v>
      </c>
      <c r="E14">
        <v>4.13834616821281E-2</v>
      </c>
      <c r="H14">
        <v>-4.56676246384859E-2</v>
      </c>
      <c r="I14">
        <v>-6.4527478972911403E-2</v>
      </c>
      <c r="J14">
        <v>0.107849410951606</v>
      </c>
      <c r="K14">
        <v>-4.5091689495450101E-4</v>
      </c>
      <c r="N14">
        <v>6.8103976186339094E-2</v>
      </c>
      <c r="O14">
        <v>-9.2546355097452302E-4</v>
      </c>
      <c r="P14">
        <v>-5.8264966300259201E-2</v>
      </c>
      <c r="Q14">
        <v>5.9709178172268298E-2</v>
      </c>
    </row>
    <row r="15" spans="1:17" x14ac:dyDescent="0.25">
      <c r="B15">
        <v>-5.6101393780339397E-2</v>
      </c>
      <c r="C15">
        <v>-8.7608769835773796E-4</v>
      </c>
      <c r="D15">
        <v>3.1949353010605301E-2</v>
      </c>
      <c r="E15">
        <v>5.8229084343323599E-2</v>
      </c>
      <c r="H15">
        <v>3.7077538299235997E-2</v>
      </c>
      <c r="I15">
        <v>-2.10829561876562E-2</v>
      </c>
      <c r="J15">
        <v>9.7414405789265898E-2</v>
      </c>
      <c r="K15">
        <v>2.45210071812462E-2</v>
      </c>
      <c r="N15">
        <v>-4.4426571116688698E-2</v>
      </c>
      <c r="O15">
        <v>-3.0843302513253099E-2</v>
      </c>
      <c r="P15">
        <v>-1.5376808832885801E-2</v>
      </c>
      <c r="Q15">
        <v>9.5724868819756906E-2</v>
      </c>
    </row>
    <row r="16" spans="1:17" x14ac:dyDescent="0.25">
      <c r="B16">
        <v>0.10727886928272</v>
      </c>
      <c r="C16">
        <v>4.9971327200699502E-2</v>
      </c>
      <c r="D16">
        <v>0.116627305038298</v>
      </c>
      <c r="E16">
        <v>5.5145137075223699E-2</v>
      </c>
      <c r="H16">
        <v>6.2853240996276302E-2</v>
      </c>
      <c r="I16">
        <v>4.7150298401209198E-2</v>
      </c>
      <c r="J16">
        <v>-2.5959815129144002E-2</v>
      </c>
      <c r="K16">
        <v>8.7920005902564699E-2</v>
      </c>
      <c r="N16">
        <v>9.4522885348284805E-2</v>
      </c>
      <c r="O16">
        <v>-1.14522830499749E-2</v>
      </c>
      <c r="P16">
        <v>3.5695327412225197E-2</v>
      </c>
      <c r="Q16">
        <v>6.21626866248269E-2</v>
      </c>
    </row>
    <row r="17" spans="1:17" x14ac:dyDescent="0.25">
      <c r="B17">
        <v>1.2182465226935999E-2</v>
      </c>
      <c r="C17">
        <v>2.1230807740533299E-2</v>
      </c>
      <c r="D17">
        <v>-0.17835272864128099</v>
      </c>
      <c r="E17">
        <v>0.180049133197448</v>
      </c>
      <c r="H17">
        <v>0.129545562574508</v>
      </c>
      <c r="I17">
        <v>0.11452634099362</v>
      </c>
      <c r="J17">
        <v>5.1330394496569703E-3</v>
      </c>
      <c r="K17">
        <v>5.9344140608390203E-2</v>
      </c>
      <c r="N17">
        <v>-3.0732820534679399E-2</v>
      </c>
      <c r="O17">
        <v>0.107014885612864</v>
      </c>
      <c r="P17">
        <v>-3.1612381987728803E-2</v>
      </c>
      <c r="Q17">
        <v>5.07337891059726E-2</v>
      </c>
    </row>
    <row r="18" spans="1:17" x14ac:dyDescent="0.25">
      <c r="B18">
        <v>3.7743541010128799E-2</v>
      </c>
      <c r="C18">
        <v>4.8150028260903401E-2</v>
      </c>
      <c r="D18">
        <v>1.60019320608825E-2</v>
      </c>
      <c r="E18">
        <v>-1.42991370851809E-2</v>
      </c>
      <c r="H18">
        <v>3.7905430746848698E-2</v>
      </c>
      <c r="I18">
        <v>-7.5388350210356999E-4</v>
      </c>
      <c r="J18">
        <v>3.9849636791900102E-2</v>
      </c>
      <c r="K18">
        <v>2.43001672105322E-2</v>
      </c>
      <c r="N18">
        <v>2.5821869584899699E-2</v>
      </c>
      <c r="O18">
        <v>5.9077854668768102E-2</v>
      </c>
      <c r="P18">
        <v>3.1883685984575902E-2</v>
      </c>
      <c r="Q18">
        <v>4.5684419089201601E-2</v>
      </c>
    </row>
    <row r="19" spans="1:17" x14ac:dyDescent="0.25">
      <c r="B19">
        <v>0.199781929152059</v>
      </c>
      <c r="C19">
        <v>8.3596784870351298E-2</v>
      </c>
      <c r="D19">
        <v>-9.4007329133275599E-2</v>
      </c>
      <c r="E19">
        <v>-1.31176297154091E-2</v>
      </c>
      <c r="H19">
        <v>-2.1660839852950399E-2</v>
      </c>
      <c r="I19">
        <v>-9.4444468496931E-2</v>
      </c>
      <c r="J19">
        <v>-0.113074954552917</v>
      </c>
      <c r="K19">
        <v>-6.3725432925194198E-3</v>
      </c>
      <c r="N19">
        <v>0.16897921290970699</v>
      </c>
      <c r="O19">
        <v>3.1958353296172803E-2</v>
      </c>
      <c r="P19">
        <v>-3.7067454727453E-2</v>
      </c>
      <c r="Q19">
        <v>-1.2308547704722001E-2</v>
      </c>
    </row>
    <row r="20" spans="1:17" x14ac:dyDescent="0.25">
      <c r="B20">
        <v>0.10159978099811</v>
      </c>
      <c r="C20">
        <v>0.101068125685465</v>
      </c>
      <c r="D20">
        <v>0.111992839469039</v>
      </c>
      <c r="E20">
        <v>6.8610224524141101E-3</v>
      </c>
      <c r="H20">
        <v>1.77481725665471E-2</v>
      </c>
      <c r="I20">
        <v>-3.4756739298984603E-2</v>
      </c>
      <c r="J20">
        <v>0.10607072859653199</v>
      </c>
      <c r="K20">
        <v>0.109002076435606</v>
      </c>
      <c r="N20">
        <v>4.0916177957648299E-2</v>
      </c>
      <c r="O20">
        <v>3.1167419551917101E-2</v>
      </c>
      <c r="P20">
        <v>5.1253365794760398E-2</v>
      </c>
      <c r="Q20">
        <v>5.6585448971789597E-2</v>
      </c>
    </row>
    <row r="21" spans="1:17" x14ac:dyDescent="0.25">
      <c r="B21">
        <v>-1.7570914289782601E-2</v>
      </c>
      <c r="C21">
        <v>-3.39290549037378E-2</v>
      </c>
      <c r="D21">
        <v>3.6373170324388401E-2</v>
      </c>
      <c r="E21">
        <v>0.142280633405859</v>
      </c>
      <c r="H21">
        <v>0.111111214611471</v>
      </c>
      <c r="I21">
        <v>5.8928762018951003E-2</v>
      </c>
      <c r="J21">
        <v>0.17459689056890099</v>
      </c>
      <c r="K21">
        <v>0.13838834835347399</v>
      </c>
      <c r="N21">
        <v>-8.0151149242882504E-3</v>
      </c>
      <c r="O21">
        <v>-7.4478155680809899E-2</v>
      </c>
      <c r="P21">
        <v>0.14705441653959</v>
      </c>
      <c r="Q21">
        <v>0.214205404031825</v>
      </c>
    </row>
    <row r="22" spans="1:17" x14ac:dyDescent="0.25">
      <c r="B22">
        <v>0.20410614009043099</v>
      </c>
      <c r="C22">
        <v>0.22924403679845601</v>
      </c>
      <c r="D22">
        <v>3.9839675550996399E-2</v>
      </c>
      <c r="E22">
        <v>1.75568541949476E-2</v>
      </c>
      <c r="H22">
        <v>0.172746004690255</v>
      </c>
      <c r="I22">
        <v>0.203123498859897</v>
      </c>
      <c r="J22">
        <v>-5.7583095620872403E-2</v>
      </c>
      <c r="K22">
        <v>0.279214921904889</v>
      </c>
      <c r="N22">
        <v>0.187471126572132</v>
      </c>
      <c r="O22">
        <v>-4.8119691862042999E-2</v>
      </c>
      <c r="P22">
        <v>6.9913533277995293E-2</v>
      </c>
      <c r="Q22">
        <v>0.31060291367582299</v>
      </c>
    </row>
    <row r="23" spans="1:17" x14ac:dyDescent="0.25">
      <c r="B23" t="s">
        <v>15</v>
      </c>
      <c r="C23" t="s">
        <v>16</v>
      </c>
      <c r="D23" t="s">
        <v>17</v>
      </c>
      <c r="E23" t="s">
        <v>18</v>
      </c>
      <c r="H23" t="s">
        <v>15</v>
      </c>
      <c r="I23" t="s">
        <v>16</v>
      </c>
      <c r="J23" t="s">
        <v>17</v>
      </c>
      <c r="K23" t="s">
        <v>18</v>
      </c>
      <c r="N23" t="s">
        <v>15</v>
      </c>
      <c r="O23" t="s">
        <v>16</v>
      </c>
      <c r="P23" t="s">
        <v>17</v>
      </c>
      <c r="Q23" t="s">
        <v>18</v>
      </c>
    </row>
    <row r="24" spans="1:17" x14ac:dyDescent="0.25">
      <c r="A24" t="s">
        <v>13</v>
      </c>
      <c r="B24">
        <f>AVERAGE(B2:B22)</f>
        <v>5.4206666628760204E-2</v>
      </c>
      <c r="C24">
        <f>AVERAGE(C2:C22)</f>
        <v>4.92161309862955E-2</v>
      </c>
      <c r="D24">
        <f>AVERAGE(D2:D22)</f>
        <v>7.4140384725368727E-2</v>
      </c>
      <c r="E24">
        <f>AVERAGE(E2:E22)</f>
        <v>5.5202674817796296E-2</v>
      </c>
      <c r="H24">
        <f>AVERAGE(H2:H22)</f>
        <v>7.5252070532572518E-2</v>
      </c>
      <c r="I24">
        <f>AVERAGE(I2:I22)</f>
        <v>6.2036965210307299E-2</v>
      </c>
      <c r="J24">
        <f>AVERAGE(J2:J22)</f>
        <v>0.14390264363557184</v>
      </c>
      <c r="K24">
        <f>AVERAGE(K2:K22)</f>
        <v>6.7092374607745559E-2</v>
      </c>
      <c r="N24">
        <f>AVERAGE(N2:N22)</f>
        <v>7.9827357465910104E-2</v>
      </c>
      <c r="O24">
        <f>AVERAGE(O2:O22)</f>
        <v>6.669792320370696E-2</v>
      </c>
      <c r="P24">
        <f>AVERAGE(P2:P22)</f>
        <v>9.2875157639732614E-2</v>
      </c>
      <c r="Q24">
        <f>AVERAGE(Q2:Q22)</f>
        <v>6.6017000063397016E-2</v>
      </c>
    </row>
    <row r="25" spans="1:17" x14ac:dyDescent="0.25">
      <c r="A25" t="s">
        <v>14</v>
      </c>
      <c r="B25">
        <f>STDEV(B2:B24)</f>
        <v>9.0246930606737857E-2</v>
      </c>
      <c r="C25">
        <f>STDEV(C2:C24)</f>
        <v>6.4963697396392101E-2</v>
      </c>
      <c r="D25">
        <f>STDEV(D2:D24)</f>
        <v>0.14604772185008572</v>
      </c>
      <c r="E25">
        <f>STDEV(E2:E24)</f>
        <v>6.5742616046390909E-2</v>
      </c>
      <c r="H25">
        <f>STDEV(H2:H24)</f>
        <v>0.12614200784972748</v>
      </c>
      <c r="I25">
        <f>STDEV(I2:I24)</f>
        <v>0.15214741450483565</v>
      </c>
      <c r="J25">
        <f>STDEV(J2:J24)</f>
        <v>0.33776828474708404</v>
      </c>
      <c r="K25">
        <f>STDEV(K2:K24)</f>
        <v>7.4087079753233614E-2</v>
      </c>
      <c r="N25">
        <f>STDEV(N2:N24)</f>
        <v>8.5930130142458747E-2</v>
      </c>
      <c r="O25">
        <f>STDEV(O2:O24)</f>
        <v>0.10266841813352681</v>
      </c>
      <c r="P25">
        <f>STDEV(P2:P24)</f>
        <v>0.27195847686757679</v>
      </c>
      <c r="Q25">
        <f>STDEV(Q2:Q24)</f>
        <v>8.3170963922253038E-2</v>
      </c>
    </row>
    <row r="27" spans="1:17" x14ac:dyDescent="0.25">
      <c r="B27">
        <f>TTEST(B2:B22,C2:C22,2,1)</f>
        <v>0.74903856513285649</v>
      </c>
      <c r="H27">
        <f>TTEST(H2:H22,I2:I22,2,1)</f>
        <v>0.30842000359122779</v>
      </c>
      <c r="N27">
        <f>TTEST(N2:N22,O2:O22,2,1)</f>
        <v>0.56263157673574604</v>
      </c>
    </row>
    <row r="28" spans="1:17" x14ac:dyDescent="0.25">
      <c r="B28">
        <f>TTEST(D2:D22,E2:E22,2,1)</f>
        <v>0.60853361839427511</v>
      </c>
      <c r="H28">
        <f>TTEST(J2:J22,K2:K22,2,1)</f>
        <v>0.34313619545285856</v>
      </c>
      <c r="N28">
        <f>TTEST(P2:P22,Q2:Q22,2,1)</f>
        <v>0.66184958991836207</v>
      </c>
    </row>
    <row r="29" spans="1:17" x14ac:dyDescent="0.25">
      <c r="B29">
        <f>TTEST(B2:B22,D2:D22,2,1)</f>
        <v>0.63884336782708062</v>
      </c>
      <c r="H29">
        <f>TTEST(H2:H22,J2:J22,2,1)</f>
        <v>0.30861068256814239</v>
      </c>
      <c r="N29">
        <f>TTEST(N2:N22,P2:P22,2,1)</f>
        <v>0.82648831670983991</v>
      </c>
    </row>
    <row r="30" spans="1:17" x14ac:dyDescent="0.25">
      <c r="B30">
        <f>TTEST(C2:C22,E2:E22,2,1)</f>
        <v>0.81461871551851894</v>
      </c>
      <c r="H30">
        <f>TTEST(I2:I22,K2:K22,2,1)</f>
        <v>0.88747665251342511</v>
      </c>
      <c r="N30">
        <f>TTEST(O2:O22,Q2:Q22,2,1)</f>
        <v>0.98420479517714343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9A8D-8D5D-46A8-A2CD-CC4A0CA7935F}">
  <dimension ref="A1:Q30"/>
  <sheetViews>
    <sheetView topLeftCell="A10" workbookViewId="0">
      <selection activeCell="B23" sqref="B23:E23"/>
    </sheetView>
  </sheetViews>
  <sheetFormatPr defaultRowHeight="15" x14ac:dyDescent="0.25"/>
  <cols>
    <col min="1" max="1" width="11.85546875" customWidth="1"/>
    <col min="7" max="7" width="10.28515625" customWidth="1"/>
    <col min="13" max="13" width="11" customWidth="1"/>
  </cols>
  <sheetData>
    <row r="1" spans="1:17" x14ac:dyDescent="0.25">
      <c r="A1" t="s">
        <v>7</v>
      </c>
      <c r="B1" t="s">
        <v>1</v>
      </c>
      <c r="C1" t="s">
        <v>2</v>
      </c>
      <c r="D1" t="s">
        <v>3</v>
      </c>
      <c r="E1" t="s">
        <v>4</v>
      </c>
      <c r="G1" t="s">
        <v>8</v>
      </c>
      <c r="H1" t="s">
        <v>1</v>
      </c>
      <c r="I1" t="s">
        <v>2</v>
      </c>
      <c r="J1" t="s">
        <v>3</v>
      </c>
      <c r="K1" t="s">
        <v>4</v>
      </c>
      <c r="M1" t="s">
        <v>9</v>
      </c>
      <c r="N1" t="s">
        <v>1</v>
      </c>
      <c r="O1" t="s">
        <v>2</v>
      </c>
      <c r="P1" t="s">
        <v>3</v>
      </c>
      <c r="Q1" t="s">
        <v>4</v>
      </c>
    </row>
    <row r="2" spans="1:17" x14ac:dyDescent="0.25">
      <c r="B2">
        <v>1.7620368598995E-2</v>
      </c>
      <c r="C2">
        <v>2.4801879442598001E-3</v>
      </c>
      <c r="D2">
        <v>2.3622593936990299E-2</v>
      </c>
      <c r="E2">
        <v>8.3729334823388998E-2</v>
      </c>
      <c r="H2">
        <v>8.6637354803897598E-3</v>
      </c>
      <c r="I2">
        <v>4.4869834336685198E-2</v>
      </c>
      <c r="J2">
        <v>7.1748961382825993E-2</v>
      </c>
      <c r="K2">
        <v>0.189313297255984</v>
      </c>
      <c r="N2">
        <v>-2.6243199564782598E-3</v>
      </c>
      <c r="O2">
        <v>2.3238412128978099E-2</v>
      </c>
      <c r="P2">
        <v>-3.7286145884724599E-2</v>
      </c>
      <c r="Q2">
        <v>4.85946499750501E-2</v>
      </c>
    </row>
    <row r="3" spans="1:17" x14ac:dyDescent="0.25">
      <c r="B3">
        <v>8.6710080256326497E-2</v>
      </c>
      <c r="C3">
        <v>9.7683920040705405E-2</v>
      </c>
      <c r="D3">
        <v>5.1796557642553101E-2</v>
      </c>
      <c r="E3">
        <v>8.5032108356349306E-2</v>
      </c>
      <c r="H3">
        <v>8.0543838742806503E-2</v>
      </c>
      <c r="I3">
        <v>4.4618354050486503E-2</v>
      </c>
      <c r="J3">
        <v>8.4569871292735702E-2</v>
      </c>
      <c r="K3">
        <v>4.8839801418333502E-2</v>
      </c>
      <c r="N3">
        <v>0.21526496635178499</v>
      </c>
      <c r="O3">
        <v>0.24965740982671</v>
      </c>
      <c r="P3">
        <v>3.65807801397873E-2</v>
      </c>
      <c r="Q3">
        <v>4.70264860387846E-2</v>
      </c>
    </row>
    <row r="4" spans="1:17" x14ac:dyDescent="0.25">
      <c r="B4">
        <v>0.200439116347819</v>
      </c>
      <c r="C4">
        <v>0.12941338523770299</v>
      </c>
      <c r="D4">
        <v>8.2920629823968195E-3</v>
      </c>
      <c r="E4">
        <v>7.5357379628871396E-3</v>
      </c>
      <c r="H4">
        <v>9.0107040650063405E-2</v>
      </c>
      <c r="I4">
        <v>4.9709180479930302E-2</v>
      </c>
      <c r="J4">
        <v>-6.9807416343006601E-3</v>
      </c>
      <c r="K4">
        <v>-1.18630378367028E-3</v>
      </c>
      <c r="N4">
        <v>-8.6082889330904896E-2</v>
      </c>
      <c r="O4">
        <v>-4.79414043118946E-2</v>
      </c>
      <c r="P4">
        <v>5.6746644621669499E-2</v>
      </c>
      <c r="Q4">
        <v>-4.1872704905176602E-3</v>
      </c>
    </row>
    <row r="5" spans="1:17" x14ac:dyDescent="0.25">
      <c r="B5">
        <v>0.35470396173614899</v>
      </c>
      <c r="C5">
        <v>0.43315998022444901</v>
      </c>
      <c r="D5">
        <v>5.7297023946594399</v>
      </c>
      <c r="E5">
        <v>4.9751152688421001E-2</v>
      </c>
      <c r="H5">
        <v>0.172272649529669</v>
      </c>
      <c r="I5">
        <v>0.469295650526873</v>
      </c>
      <c r="J5">
        <v>0.616253706258585</v>
      </c>
      <c r="K5">
        <v>0.14112499572144899</v>
      </c>
      <c r="N5">
        <v>5.20773117475508E-2</v>
      </c>
      <c r="O5">
        <v>0.16350664936748399</v>
      </c>
      <c r="P5">
        <v>0.57256991283476499</v>
      </c>
      <c r="Q5">
        <v>0.23479871208966999</v>
      </c>
    </row>
    <row r="6" spans="1:17" x14ac:dyDescent="0.25">
      <c r="B6">
        <v>0.10525230210053001</v>
      </c>
      <c r="C6">
        <v>7.8430990061115494E-2</v>
      </c>
      <c r="D6">
        <v>8.7917406509679594E-2</v>
      </c>
      <c r="E6">
        <v>3.5556163261340597E-2</v>
      </c>
      <c r="H6">
        <v>8.6018592217277298E-2</v>
      </c>
      <c r="I6">
        <v>2.1009717539321501E-2</v>
      </c>
      <c r="J6">
        <v>6.4314429514203603E-2</v>
      </c>
      <c r="K6">
        <v>1.6903637453860601E-2</v>
      </c>
      <c r="N6">
        <v>5.6626004137526303E-2</v>
      </c>
      <c r="O6">
        <v>6.8384685723497304E-2</v>
      </c>
      <c r="P6">
        <v>3.0733118084125599E-2</v>
      </c>
      <c r="Q6">
        <v>4.7843130252767298E-2</v>
      </c>
    </row>
    <row r="7" spans="1:17" x14ac:dyDescent="0.25">
      <c r="B7">
        <v>-2.3668204551602502E-2</v>
      </c>
      <c r="C7">
        <v>3.7691243772093402E-2</v>
      </c>
      <c r="D7">
        <v>0.16610376059182599</v>
      </c>
      <c r="E7">
        <v>8.3820371019833508E-3</v>
      </c>
      <c r="H7">
        <v>-9.5942263498564502E-3</v>
      </c>
      <c r="I7">
        <v>0.11826092454768899</v>
      </c>
      <c r="J7">
        <v>0.29630341327927301</v>
      </c>
      <c r="K7">
        <v>8.1401546456544696E-2</v>
      </c>
      <c r="N7">
        <v>0.11315688871514799</v>
      </c>
      <c r="O7">
        <v>0.10231625805835801</v>
      </c>
      <c r="P7">
        <v>3.9088613717946002E-2</v>
      </c>
      <c r="Q7">
        <v>-9.43407825901902E-3</v>
      </c>
    </row>
    <row r="8" spans="1:17" x14ac:dyDescent="0.25">
      <c r="B8">
        <v>4.9237065187819201E-3</v>
      </c>
      <c r="C8">
        <v>1.12594647038348E-2</v>
      </c>
      <c r="D8">
        <v>-8.8931263106213895E-2</v>
      </c>
      <c r="E8">
        <v>4.40726721161733E-2</v>
      </c>
      <c r="H8">
        <v>5.7481071837432902E-2</v>
      </c>
      <c r="I8">
        <v>8.2044209093710505E-2</v>
      </c>
      <c r="J8">
        <v>2.5860981823E-2</v>
      </c>
      <c r="K8">
        <v>1.78136723400521E-2</v>
      </c>
      <c r="N8">
        <v>2.15313883642082E-2</v>
      </c>
      <c r="O8">
        <v>1.9649692646955302E-2</v>
      </c>
      <c r="P8">
        <v>3.0432965356367799E-2</v>
      </c>
      <c r="Q8">
        <v>3.7893403775069598E-2</v>
      </c>
    </row>
    <row r="9" spans="1:17" x14ac:dyDescent="0.25">
      <c r="B9">
        <v>-8.3307687975889603E-4</v>
      </c>
      <c r="C9">
        <v>5.9995651338614897E-2</v>
      </c>
      <c r="D9">
        <v>4.1509212136231398E-2</v>
      </c>
      <c r="E9">
        <v>6.0146808881020898E-2</v>
      </c>
      <c r="H9">
        <v>7.9754236404066495E-2</v>
      </c>
      <c r="I9">
        <v>7.2694559812469806E-2</v>
      </c>
      <c r="J9">
        <v>4.2013678251113601E-2</v>
      </c>
      <c r="K9">
        <v>4.9477707141382998E-2</v>
      </c>
      <c r="N9">
        <v>-2.3970164037304502E-3</v>
      </c>
      <c r="O9">
        <v>5.7728078143387901E-2</v>
      </c>
      <c r="P9">
        <v>4.3939822589276298E-2</v>
      </c>
      <c r="Q9">
        <v>3.9397359752668497E-2</v>
      </c>
    </row>
    <row r="10" spans="1:17" x14ac:dyDescent="0.25">
      <c r="B10">
        <v>1.9719073469738099E-2</v>
      </c>
      <c r="C10">
        <v>1.02097183564355E-2</v>
      </c>
      <c r="D10">
        <v>-2.4293761099277899E-2</v>
      </c>
      <c r="E10">
        <v>-3.7669363614795601E-2</v>
      </c>
      <c r="H10">
        <v>-1.4293319505595099E-2</v>
      </c>
      <c r="I10">
        <v>8.5549302226088794E-2</v>
      </c>
      <c r="J10">
        <v>1.2361793301011101E-2</v>
      </c>
      <c r="K10">
        <v>0.101867042591208</v>
      </c>
      <c r="N10">
        <v>1.71243839594401E-2</v>
      </c>
      <c r="O10">
        <v>-1.13908423739057E-2</v>
      </c>
      <c r="P10">
        <v>1.8972214106245201E-2</v>
      </c>
      <c r="Q10">
        <v>1.7558495519902802E-2</v>
      </c>
    </row>
    <row r="11" spans="1:17" x14ac:dyDescent="0.25">
      <c r="B11">
        <v>-4.4929718234179898E-2</v>
      </c>
      <c r="C11">
        <v>-6.7029747635513795E-2</v>
      </c>
      <c r="D11">
        <v>0.13338127581803</v>
      </c>
      <c r="E11">
        <v>-5.7990519790400902E-2</v>
      </c>
      <c r="H11">
        <v>0.11820097078672399</v>
      </c>
      <c r="I11">
        <v>0.157971256156129</v>
      </c>
      <c r="J11">
        <v>4.3116827042097301E-2</v>
      </c>
      <c r="K11">
        <v>7.4190226998256002E-3</v>
      </c>
      <c r="N11">
        <v>5.0302097436410599E-2</v>
      </c>
      <c r="O11">
        <v>0.16932717123739099</v>
      </c>
      <c r="P11">
        <v>0.128126750661017</v>
      </c>
      <c r="Q11">
        <v>0.12286769465219601</v>
      </c>
    </row>
    <row r="12" spans="1:17" x14ac:dyDescent="0.25">
      <c r="B12">
        <v>8.53676471999813E-2</v>
      </c>
      <c r="C12">
        <v>2.61149975571844E-2</v>
      </c>
      <c r="D12">
        <v>5.5917353173484799E-2</v>
      </c>
      <c r="E12">
        <v>9.9849450034561107E-3</v>
      </c>
      <c r="H12">
        <v>3.0339663318062201E-2</v>
      </c>
      <c r="I12">
        <v>5.7768706413664897E-2</v>
      </c>
      <c r="J12">
        <v>3.4607048359544201E-2</v>
      </c>
      <c r="K12">
        <v>-1.40898174268507E-2</v>
      </c>
      <c r="N12">
        <v>2.6217465339589199E-2</v>
      </c>
      <c r="O12">
        <v>1.7281440439197601E-2</v>
      </c>
      <c r="P12">
        <v>3.8228895683627001E-2</v>
      </c>
      <c r="Q12">
        <v>2.2709163761664701E-2</v>
      </c>
    </row>
    <row r="13" spans="1:17" x14ac:dyDescent="0.25">
      <c r="B13">
        <v>2.3853792709057201E-3</v>
      </c>
      <c r="C13">
        <v>-2.0291159262697902E-3</v>
      </c>
      <c r="D13">
        <v>6.4487562128284201E-2</v>
      </c>
      <c r="E13">
        <v>6.2219555776620201E-3</v>
      </c>
      <c r="H13">
        <v>1.43750669617449E-2</v>
      </c>
      <c r="I13">
        <v>-3.8379445470549298E-3</v>
      </c>
      <c r="J13">
        <v>9.6436090367592008E-3</v>
      </c>
      <c r="K13">
        <v>3.98326244733746E-2</v>
      </c>
      <c r="N13">
        <v>5.4076458639877097E-2</v>
      </c>
      <c r="O13">
        <v>0.118937804410057</v>
      </c>
      <c r="P13">
        <v>4.5002938568489803E-2</v>
      </c>
      <c r="Q13">
        <v>1.55196895609688E-3</v>
      </c>
    </row>
    <row r="14" spans="1:17" x14ac:dyDescent="0.25">
      <c r="B14">
        <v>2.0635372037226402E-2</v>
      </c>
      <c r="C14">
        <v>3.4423926370133598E-2</v>
      </c>
      <c r="D14">
        <v>0.111878719702263</v>
      </c>
      <c r="E14">
        <v>6.5860310520424098E-2</v>
      </c>
      <c r="H14">
        <v>-4.10686317707478E-2</v>
      </c>
      <c r="I14">
        <v>3.05204426610339E-2</v>
      </c>
      <c r="J14">
        <v>-4.9318298975437498E-2</v>
      </c>
      <c r="K14">
        <v>4.7818168136918599E-3</v>
      </c>
      <c r="N14">
        <v>7.5760169640637906E-2</v>
      </c>
      <c r="O14">
        <v>3.3068350273231503E-2</v>
      </c>
      <c r="P14">
        <v>5.2143539772621601E-2</v>
      </c>
      <c r="Q14">
        <v>-2.7747204042995799E-2</v>
      </c>
    </row>
    <row r="15" spans="1:17" x14ac:dyDescent="0.25">
      <c r="B15">
        <v>5.9835047276271203E-2</v>
      </c>
      <c r="C15">
        <v>4.1639953690779302E-2</v>
      </c>
      <c r="D15">
        <v>2.6895953672605898E-2</v>
      </c>
      <c r="E15">
        <v>1.88871047200589E-2</v>
      </c>
      <c r="H15">
        <v>6.54645044102726E-2</v>
      </c>
      <c r="I15">
        <v>1.9575062588585199E-2</v>
      </c>
      <c r="J15">
        <v>2.9103089589504701E-2</v>
      </c>
      <c r="K15">
        <v>1.5250664085530001E-3</v>
      </c>
      <c r="N15">
        <v>2.9248119370761601E-2</v>
      </c>
      <c r="O15">
        <v>1.16133689356197E-2</v>
      </c>
      <c r="P15">
        <v>-6.9994001286200697E-3</v>
      </c>
      <c r="Q15">
        <v>-5.1909558614826601E-3</v>
      </c>
    </row>
    <row r="16" spans="1:17" x14ac:dyDescent="0.25">
      <c r="B16">
        <v>4.4164736114801701E-3</v>
      </c>
      <c r="C16">
        <v>-6.7217891104865103E-3</v>
      </c>
      <c r="D16">
        <v>4.39717787057596E-2</v>
      </c>
      <c r="E16">
        <v>2.6794424471230101E-2</v>
      </c>
      <c r="H16">
        <v>-5.2677458403494602E-2</v>
      </c>
      <c r="I16">
        <v>-5.0453970500823897E-2</v>
      </c>
      <c r="J16">
        <v>4.0586123393395901E-2</v>
      </c>
      <c r="K16">
        <v>1.9236976652158601E-2</v>
      </c>
      <c r="N16">
        <v>3.1784359806577303E-2</v>
      </c>
      <c r="O16">
        <v>5.16178147796965E-2</v>
      </c>
      <c r="P16">
        <v>7.4339145240722895E-2</v>
      </c>
      <c r="Q16">
        <v>4.5426259047476499E-2</v>
      </c>
    </row>
    <row r="17" spans="1:17" x14ac:dyDescent="0.25">
      <c r="B17">
        <v>-3.3825355909991299E-2</v>
      </c>
      <c r="C17">
        <v>1.86186503538438E-3</v>
      </c>
      <c r="D17">
        <v>7.4735340211906906E-2</v>
      </c>
      <c r="E17">
        <v>8.2982688944101907E-2</v>
      </c>
      <c r="H17">
        <v>5.9240261407626602E-2</v>
      </c>
      <c r="I17">
        <v>8.3881647488656799E-2</v>
      </c>
      <c r="J17">
        <v>3.5646800487700699E-2</v>
      </c>
      <c r="K17">
        <v>6.3435138841753405E-2</v>
      </c>
      <c r="N17">
        <v>-1.43464614958744E-2</v>
      </c>
      <c r="O17">
        <v>3.6489090306674098E-2</v>
      </c>
      <c r="P17">
        <v>7.3339777277318996E-2</v>
      </c>
      <c r="Q17">
        <v>9.8422205712877502E-3</v>
      </c>
    </row>
    <row r="18" spans="1:17" x14ac:dyDescent="0.25">
      <c r="B18">
        <v>-5.7321248358322099E-2</v>
      </c>
      <c r="C18">
        <v>-2.49386600044962E-2</v>
      </c>
      <c r="D18">
        <v>2.1489718850751698E-3</v>
      </c>
      <c r="E18">
        <v>-0.11311740798538</v>
      </c>
      <c r="H18">
        <v>-1.3238371762578499E-3</v>
      </c>
      <c r="I18">
        <v>7.4812621828112798E-3</v>
      </c>
      <c r="J18">
        <v>2.7384473951274101E-2</v>
      </c>
      <c r="K18">
        <v>7.8761005576083301E-2</v>
      </c>
      <c r="N18">
        <v>-1.42188637464343E-2</v>
      </c>
      <c r="O18">
        <v>-1.8173114576831802E-2</v>
      </c>
      <c r="P18">
        <v>1.3336907990949101E-2</v>
      </c>
      <c r="Q18">
        <v>4.0789060382329198E-2</v>
      </c>
    </row>
    <row r="19" spans="1:17" x14ac:dyDescent="0.25">
      <c r="B19">
        <v>1.82660632543341E-3</v>
      </c>
      <c r="C19">
        <v>-1.4271125502321E-3</v>
      </c>
      <c r="D19">
        <v>-1.06166630233673E-3</v>
      </c>
      <c r="E19">
        <v>3.7420120244097799E-2</v>
      </c>
      <c r="H19">
        <v>-1.09223613183684E-2</v>
      </c>
      <c r="I19">
        <v>-2.3744549195872698E-3</v>
      </c>
      <c r="J19">
        <v>-3.1669613307373397E-2</v>
      </c>
      <c r="K19">
        <v>1.1408245037111599E-2</v>
      </c>
      <c r="N19">
        <v>-1.5887244189840201E-2</v>
      </c>
      <c r="O19">
        <v>-1.55513255309245E-2</v>
      </c>
      <c r="P19">
        <v>3.2039881698593599E-2</v>
      </c>
      <c r="Q19">
        <v>9.8815281985609502E-2</v>
      </c>
    </row>
    <row r="20" spans="1:17" x14ac:dyDescent="0.25">
      <c r="B20">
        <v>-5.2781557755021302E-2</v>
      </c>
      <c r="C20">
        <v>-6.3976277517066296E-3</v>
      </c>
      <c r="D20">
        <v>1.35954243273164E-2</v>
      </c>
      <c r="E20">
        <v>-7.2874628098431602E-3</v>
      </c>
      <c r="H20">
        <v>5.3471315867086901E-2</v>
      </c>
      <c r="I20">
        <v>1.23837758744689E-2</v>
      </c>
      <c r="J20">
        <v>6.2010910954758497E-2</v>
      </c>
      <c r="K20">
        <v>-4.0775568539128101E-2</v>
      </c>
      <c r="N20">
        <v>7.0794160342288304E-2</v>
      </c>
      <c r="O20">
        <v>2.42842847600842E-2</v>
      </c>
      <c r="P20">
        <v>-5.6838794036284598E-2</v>
      </c>
      <c r="Q20">
        <v>2.2685561493088601E-2</v>
      </c>
    </row>
    <row r="21" spans="1:17" x14ac:dyDescent="0.25">
      <c r="B21">
        <v>5.7209566713220597E-2</v>
      </c>
      <c r="C21">
        <v>4.7061912781388202E-2</v>
      </c>
      <c r="D21">
        <v>4.3876100592841201E-2</v>
      </c>
      <c r="E21">
        <v>0.13646092057539599</v>
      </c>
      <c r="H21">
        <v>5.1204200460575097E-2</v>
      </c>
      <c r="I21">
        <v>0.108750453392434</v>
      </c>
      <c r="J21">
        <v>3.8324225085432699E-2</v>
      </c>
      <c r="K21">
        <v>0.23194341856338599</v>
      </c>
      <c r="N21">
        <v>2.0702697199063199E-2</v>
      </c>
      <c r="O21">
        <v>-1.3111668549963301E-2</v>
      </c>
      <c r="P21">
        <v>8.3659768608593602E-2</v>
      </c>
      <c r="Q21">
        <v>0.16370920546971501</v>
      </c>
    </row>
    <row r="22" spans="1:17" x14ac:dyDescent="0.25">
      <c r="B22">
        <v>0.22037050921933199</v>
      </c>
      <c r="C22">
        <v>0.12943789670459499</v>
      </c>
      <c r="D22">
        <v>3.7768810940627E-2</v>
      </c>
      <c r="E22">
        <v>0.23021465532243399</v>
      </c>
      <c r="H22">
        <v>0.19190779959332499</v>
      </c>
      <c r="I22">
        <v>0.15051231634047901</v>
      </c>
      <c r="J22">
        <v>-4.20833280755969E-2</v>
      </c>
      <c r="K22">
        <v>6.4158210370609495E-2</v>
      </c>
      <c r="N22">
        <v>0.35931465149386799</v>
      </c>
      <c r="O22">
        <v>0.30107732136409598</v>
      </c>
      <c r="P22">
        <v>-2.13939534187805E-2</v>
      </c>
      <c r="Q22">
        <v>0.216364501076341</v>
      </c>
    </row>
    <row r="23" spans="1:17" x14ac:dyDescent="0.25">
      <c r="B23" t="s">
        <v>15</v>
      </c>
      <c r="C23" t="s">
        <v>16</v>
      </c>
      <c r="D23" t="s">
        <v>17</v>
      </c>
      <c r="E23" t="s">
        <v>18</v>
      </c>
      <c r="H23" t="s">
        <v>15</v>
      </c>
      <c r="I23" t="s">
        <v>16</v>
      </c>
      <c r="J23" t="s">
        <v>17</v>
      </c>
      <c r="K23" t="s">
        <v>18</v>
      </c>
      <c r="N23" t="s">
        <v>15</v>
      </c>
      <c r="O23" t="s">
        <v>16</v>
      </c>
      <c r="P23" t="s">
        <v>17</v>
      </c>
      <c r="Q23" t="s">
        <v>18</v>
      </c>
    </row>
    <row r="24" spans="1:17" x14ac:dyDescent="0.25">
      <c r="A24" t="s">
        <v>13</v>
      </c>
      <c r="B24">
        <f>AVERAGE(B2:B22)</f>
        <v>4.8955049952062603E-2</v>
      </c>
      <c r="C24">
        <f>AVERAGE(C2:C22)</f>
        <v>4.9158144801903378E-2</v>
      </c>
      <c r="D24">
        <f>AVERAGE(D2:D22)</f>
        <v>0.31444355186235634</v>
      </c>
      <c r="E24">
        <f>AVERAGE(E2:E22)</f>
        <v>3.6808018398571708E-2</v>
      </c>
      <c r="H24">
        <f>AVERAGE(H2:H22)</f>
        <v>4.9007862530609639E-2</v>
      </c>
      <c r="I24">
        <f>AVERAGE(I2:I22)</f>
        <v>7.4296680273526247E-2</v>
      </c>
      <c r="J24">
        <f>AVERAGE(J2:J22)</f>
        <v>6.6847521952881267E-2</v>
      </c>
      <c r="K24">
        <f>AVERAGE(K2:K22)</f>
        <v>5.3009120765033974E-2</v>
      </c>
      <c r="N24">
        <f>AVERAGE(N2:N22)</f>
        <v>5.0401158448641382E-2</v>
      </c>
      <c r="O24">
        <f>AVERAGE(O2:O22)</f>
        <v>6.3905213193233251E-2</v>
      </c>
      <c r="P24">
        <f>AVERAGE(P2:P22)</f>
        <v>5.9369684927795541E-2</v>
      </c>
      <c r="Q24">
        <f>AVERAGE(Q2:Q22)</f>
        <v>5.5776840292652521E-2</v>
      </c>
    </row>
    <row r="25" spans="1:17" x14ac:dyDescent="0.25">
      <c r="A25" t="s">
        <v>14</v>
      </c>
      <c r="B25">
        <f>STDEV(B2:B22)</f>
        <v>0.10196472347867472</v>
      </c>
      <c r="C25">
        <f>STDEV(C2:C22)</f>
        <v>0.10058821549960643</v>
      </c>
      <c r="D25">
        <f>STDEV(D2:D22)</f>
        <v>1.2420013823013112</v>
      </c>
      <c r="E25">
        <f>STDEV(E2:E22)</f>
        <v>7.0108517455897523E-2</v>
      </c>
      <c r="H25">
        <f>STDEV(H2:H22)</f>
        <v>6.3666537814196247E-2</v>
      </c>
      <c r="I25">
        <f>STDEV(I2:I22)</f>
        <v>0.10451170679271139</v>
      </c>
      <c r="J25">
        <f>STDEV(J2:J22)</f>
        <v>0.14334933457694266</v>
      </c>
      <c r="K25">
        <f>STDEV(K2:K22)</f>
        <v>6.7585877353953785E-2</v>
      </c>
      <c r="N25">
        <f>STDEV(N2:N22)</f>
        <v>9.1883356451447809E-2</v>
      </c>
      <c r="O25">
        <f>STDEV(O2:O22)</f>
        <v>9.095487954409591E-2</v>
      </c>
      <c r="P25">
        <f>STDEV(P2:P22)</f>
        <v>0.12468401921590636</v>
      </c>
      <c r="Q25">
        <f>STDEV(Q2:Q22)</f>
        <v>7.2177576344644639E-2</v>
      </c>
    </row>
    <row r="27" spans="1:17" x14ac:dyDescent="0.25">
      <c r="B27">
        <f>TTEST(B2:B22,C2:C22,2,1)</f>
        <v>0.98303866922181959</v>
      </c>
      <c r="H27">
        <f>TTEST(H2:H22,I2:I22,2,1)</f>
        <v>0.16231123083164684</v>
      </c>
      <c r="N27">
        <f>TTEST(N2:N22,O2:O22,2,1)</f>
        <v>0.21572361356659361</v>
      </c>
    </row>
    <row r="28" spans="1:17" x14ac:dyDescent="0.25">
      <c r="B28">
        <f>TTEST(D2:D22,E2:E22,2,1)</f>
        <v>0.31748618704751308</v>
      </c>
      <c r="H28">
        <f>TTEST(J2:J22,K2:K22,2,1)</f>
        <v>0.64462263901526495</v>
      </c>
      <c r="N28">
        <f>TTEST(P2:P22,Q2:Q22,2,1)</f>
        <v>0.87560010084345929</v>
      </c>
    </row>
    <row r="29" spans="1:17" x14ac:dyDescent="0.25">
      <c r="B29">
        <f>TTEST(B2:B22,D2:D22,2,1)</f>
        <v>0.31270786280747342</v>
      </c>
      <c r="H29">
        <f>TTEST(H2:H22,J2:J22,2,1)</f>
        <v>0.55645853205590157</v>
      </c>
      <c r="N29">
        <f>TTEST(N2:N22,P2:P22,2,1)</f>
        <v>0.80086041578509692</v>
      </c>
    </row>
    <row r="30" spans="1:17" x14ac:dyDescent="0.25">
      <c r="B30">
        <f>TTEST(C2:C22,E2:E22,2,1)</f>
        <v>0.58555159493442899</v>
      </c>
      <c r="H30">
        <f>TTEST(I2:I22,K2:K22,2,1)</f>
        <v>0.33460372622819645</v>
      </c>
      <c r="N30">
        <f>TTEST(O2:O22,Q2:Q22,2,1)</f>
        <v>0.6580043269088065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947E-EE26-4604-8B63-FF40B9197392}">
  <dimension ref="A1:Q30"/>
  <sheetViews>
    <sheetView workbookViewId="0">
      <selection activeCell="B23" sqref="B23:E23"/>
    </sheetView>
  </sheetViews>
  <sheetFormatPr defaultRowHeight="15" x14ac:dyDescent="0.25"/>
  <cols>
    <col min="1" max="1" width="10.5703125" customWidth="1"/>
  </cols>
  <sheetData>
    <row r="1" spans="1:17" x14ac:dyDescent="0.25">
      <c r="A1" t="s">
        <v>10</v>
      </c>
      <c r="B1" t="s">
        <v>1</v>
      </c>
      <c r="C1" t="s">
        <v>2</v>
      </c>
      <c r="D1" t="s">
        <v>3</v>
      </c>
      <c r="E1" t="s">
        <v>4</v>
      </c>
      <c r="G1" t="s">
        <v>11</v>
      </c>
      <c r="H1" t="s">
        <v>1</v>
      </c>
      <c r="I1" t="s">
        <v>2</v>
      </c>
      <c r="J1" t="s">
        <v>3</v>
      </c>
      <c r="K1" t="s">
        <v>4</v>
      </c>
      <c r="M1" t="s">
        <v>12</v>
      </c>
      <c r="N1" t="s">
        <v>1</v>
      </c>
      <c r="O1" t="s">
        <v>2</v>
      </c>
      <c r="P1" t="s">
        <v>3</v>
      </c>
      <c r="Q1" t="s">
        <v>4</v>
      </c>
    </row>
    <row r="2" spans="1:17" x14ac:dyDescent="0.25">
      <c r="B2">
        <v>-8.6939332084156502E-3</v>
      </c>
      <c r="C2">
        <v>0.123922252244552</v>
      </c>
      <c r="D2">
        <v>9.9696571874314396E-2</v>
      </c>
      <c r="E2">
        <v>-2.20113062012764E-2</v>
      </c>
      <c r="H2">
        <v>0.115271816228212</v>
      </c>
      <c r="I2">
        <v>2.6250638924460699E-2</v>
      </c>
      <c r="J2">
        <v>-0.10348967799726</v>
      </c>
      <c r="K2">
        <v>9.2794254660750503E-2</v>
      </c>
      <c r="N2">
        <v>4.8747525568718197E-2</v>
      </c>
      <c r="O2">
        <v>6.3911939666787307E-2</v>
      </c>
      <c r="P2">
        <v>0.40829742919392198</v>
      </c>
      <c r="Q2">
        <v>3.3027535459032899E-2</v>
      </c>
    </row>
    <row r="3" spans="1:17" x14ac:dyDescent="0.25">
      <c r="B3">
        <v>-4.0548213663708699E-2</v>
      </c>
      <c r="C3">
        <v>9.62702000504045E-2</v>
      </c>
      <c r="D3">
        <v>0.123143334361656</v>
      </c>
      <c r="E3">
        <v>-9.8653936023650496E-2</v>
      </c>
      <c r="H3">
        <v>-0.123804196787705</v>
      </c>
      <c r="I3">
        <v>-5.4297217620894997E-2</v>
      </c>
      <c r="J3">
        <v>-3.8073207029250399E-2</v>
      </c>
      <c r="K3">
        <v>-0.17198655551150099</v>
      </c>
      <c r="N3">
        <v>-1.66647275363116E-2</v>
      </c>
      <c r="O3">
        <v>0.22947907314864499</v>
      </c>
      <c r="P3">
        <v>-2.43239773687061E-2</v>
      </c>
      <c r="Q3">
        <v>-0.118394096996165</v>
      </c>
    </row>
    <row r="4" spans="1:17" x14ac:dyDescent="0.25">
      <c r="B4">
        <v>-0.11140316178502099</v>
      </c>
      <c r="C4">
        <v>-5.1628466574881203E-2</v>
      </c>
      <c r="D4">
        <v>-4.1800870780895602E-2</v>
      </c>
      <c r="E4">
        <v>-4.36193591171888E-3</v>
      </c>
      <c r="H4">
        <v>0.197695438886622</v>
      </c>
      <c r="I4">
        <v>0.324275000213187</v>
      </c>
      <c r="J4">
        <v>-5.8638105184131699E-2</v>
      </c>
      <c r="K4">
        <v>-2.74103098766885E-2</v>
      </c>
      <c r="N4">
        <v>0.12538632966126001</v>
      </c>
      <c r="O4">
        <v>0.15819086227929999</v>
      </c>
      <c r="P4">
        <v>-4.5938048510113197E-2</v>
      </c>
      <c r="Q4">
        <v>0.177700944272047</v>
      </c>
    </row>
    <row r="5" spans="1:17" x14ac:dyDescent="0.25">
      <c r="B5">
        <v>0.613642613672993</v>
      </c>
      <c r="C5">
        <v>0.37236246358360903</v>
      </c>
      <c r="D5">
        <v>1.0193532974848001</v>
      </c>
      <c r="E5">
        <v>0.61699763508516303</v>
      </c>
      <c r="H5">
        <v>0.81543541809129305</v>
      </c>
      <c r="I5">
        <v>0.64447397233770498</v>
      </c>
      <c r="J5">
        <v>1.5073555474732501</v>
      </c>
      <c r="K5">
        <v>8.8534129122330094E-2</v>
      </c>
      <c r="N5">
        <v>0.15268334603753</v>
      </c>
      <c r="O5">
        <v>0.30598605106862897</v>
      </c>
      <c r="P5">
        <v>0.38195090131687298</v>
      </c>
      <c r="Q5">
        <v>2.9866043554678302E-2</v>
      </c>
    </row>
    <row r="6" spans="1:17" x14ac:dyDescent="0.25">
      <c r="B6">
        <v>9.2731605835239803E-2</v>
      </c>
      <c r="C6">
        <v>9.50522842290486E-2</v>
      </c>
      <c r="D6">
        <v>4.17696845342497E-3</v>
      </c>
      <c r="E6">
        <v>-5.8810243963713899E-2</v>
      </c>
      <c r="H6">
        <v>0.13909966610399499</v>
      </c>
      <c r="I6">
        <v>0.13043061572338499</v>
      </c>
      <c r="J6">
        <v>1.24773025830257E-2</v>
      </c>
      <c r="K6">
        <v>0.15656207837144501</v>
      </c>
      <c r="N6">
        <v>0.137660792923127</v>
      </c>
      <c r="O6">
        <v>3.68990221971321E-3</v>
      </c>
      <c r="P6">
        <v>-3.0129266266413799E-2</v>
      </c>
      <c r="Q6">
        <v>7.10490351342008E-2</v>
      </c>
    </row>
    <row r="7" spans="1:17" x14ac:dyDescent="0.25">
      <c r="B7">
        <v>-0.115500074047672</v>
      </c>
      <c r="C7">
        <v>4.5025676651361701E-2</v>
      </c>
      <c r="D7">
        <v>0.49591354757592099</v>
      </c>
      <c r="E7">
        <v>9.6361155354093606E-2</v>
      </c>
      <c r="H7">
        <v>0.11024058444344401</v>
      </c>
      <c r="I7">
        <v>9.0598038889190893E-2</v>
      </c>
      <c r="J7">
        <v>0.33666966230559198</v>
      </c>
      <c r="K7">
        <v>0.34945894118016901</v>
      </c>
      <c r="N7">
        <v>9.3484880894144695E-2</v>
      </c>
      <c r="O7">
        <v>5.92878360802402E-2</v>
      </c>
      <c r="P7">
        <v>-3.1498938774859299E-2</v>
      </c>
      <c r="Q7">
        <v>4.0093370895083399E-3</v>
      </c>
    </row>
    <row r="8" spans="1:17" x14ac:dyDescent="0.25">
      <c r="B8">
        <v>0.22009222258282099</v>
      </c>
      <c r="C8">
        <v>0.188325748104712</v>
      </c>
      <c r="D8">
        <v>3.0082053476968101E-2</v>
      </c>
      <c r="E8">
        <v>-6.8461976293593393E-2</v>
      </c>
      <c r="H8">
        <v>8.3069541847076198E-2</v>
      </c>
      <c r="I8">
        <v>7.9852596465165902E-4</v>
      </c>
      <c r="J8">
        <v>0.168377478880605</v>
      </c>
      <c r="K8">
        <v>-9.74322933301522E-2</v>
      </c>
      <c r="N8">
        <v>7.5864393199184199E-2</v>
      </c>
      <c r="O8">
        <v>4.7610850587441996E-3</v>
      </c>
      <c r="P8">
        <v>-0.110561950913294</v>
      </c>
      <c r="Q8">
        <v>0.190885955425458</v>
      </c>
    </row>
    <row r="9" spans="1:17" x14ac:dyDescent="0.25">
      <c r="B9">
        <v>-2.5221782840156599E-2</v>
      </c>
      <c r="C9">
        <v>5.9834807788123903E-2</v>
      </c>
      <c r="D9">
        <v>5.5469263020594198E-3</v>
      </c>
      <c r="E9">
        <v>-5.3676802738389401E-2</v>
      </c>
      <c r="H9">
        <v>-5.70653762442314E-2</v>
      </c>
      <c r="I9">
        <v>-6.5652019355180502E-2</v>
      </c>
      <c r="J9">
        <v>8.1525802399217001E-2</v>
      </c>
      <c r="K9">
        <v>-3.8569374685361903E-2</v>
      </c>
      <c r="N9">
        <v>3.9971272875169002E-2</v>
      </c>
      <c r="O9">
        <v>-1.20858719055544E-2</v>
      </c>
      <c r="P9">
        <v>-9.7725408559562202E-2</v>
      </c>
      <c r="Q9">
        <v>-2.7487033133280499E-2</v>
      </c>
    </row>
    <row r="10" spans="1:17" x14ac:dyDescent="0.25">
      <c r="B10">
        <v>6.5799307356864206E-2</v>
      </c>
      <c r="C10">
        <v>0.16297728962539501</v>
      </c>
      <c r="D10">
        <v>7.09375547579707E-2</v>
      </c>
      <c r="E10">
        <v>7.5815405101064701E-2</v>
      </c>
      <c r="H10">
        <v>8.1095639350979701E-2</v>
      </c>
      <c r="I10">
        <v>0.18705230618007501</v>
      </c>
      <c r="J10">
        <v>3.8748980964365E-2</v>
      </c>
      <c r="K10">
        <v>2.2841708404069901E-2</v>
      </c>
      <c r="N10">
        <v>4.0468816751708998E-2</v>
      </c>
      <c r="O10">
        <v>6.8719038855178202E-2</v>
      </c>
      <c r="P10">
        <v>4.3418914600249402E-2</v>
      </c>
      <c r="Q10">
        <v>-0.13027918271173899</v>
      </c>
    </row>
    <row r="11" spans="1:17" x14ac:dyDescent="0.25">
      <c r="B11">
        <v>-6.9219019907988802E-2</v>
      </c>
      <c r="C11">
        <v>4.75758929622297E-2</v>
      </c>
      <c r="D11">
        <v>4.0230883334981697E-2</v>
      </c>
      <c r="E11">
        <v>0.132856965357005</v>
      </c>
      <c r="H11">
        <v>2.6667499276889502E-2</v>
      </c>
      <c r="I11">
        <v>1.5861596567746002E-2</v>
      </c>
      <c r="J11">
        <v>-1.92423103129661E-2</v>
      </c>
      <c r="K11">
        <v>-4.7453001250541797E-2</v>
      </c>
      <c r="N11">
        <v>-4.0368510156225203E-2</v>
      </c>
      <c r="O11">
        <v>7.8387901055999507E-3</v>
      </c>
      <c r="P11">
        <v>-0.121108461300538</v>
      </c>
      <c r="Q11">
        <v>0.10733736910238199</v>
      </c>
    </row>
    <row r="12" spans="1:17" x14ac:dyDescent="0.25">
      <c r="B12">
        <v>-0.134478313423466</v>
      </c>
      <c r="C12">
        <v>-3.8488508543551701E-2</v>
      </c>
      <c r="D12">
        <v>8.2697005771877802E-2</v>
      </c>
      <c r="E12">
        <v>4.6540827305648097E-2</v>
      </c>
      <c r="H12">
        <v>0.122215451929122</v>
      </c>
      <c r="I12">
        <v>0.18839196287188301</v>
      </c>
      <c r="J12">
        <v>4.8528170647006999E-2</v>
      </c>
      <c r="K12">
        <v>-3.8841444870725099E-2</v>
      </c>
      <c r="N12">
        <v>2.5645327129473401E-3</v>
      </c>
      <c r="O12">
        <v>0.203765820713774</v>
      </c>
      <c r="P12">
        <v>6.2037147402329199E-2</v>
      </c>
      <c r="Q12">
        <v>9.2813785529387002E-2</v>
      </c>
    </row>
    <row r="13" spans="1:17" x14ac:dyDescent="0.25">
      <c r="B13">
        <v>1.00801232894619E-2</v>
      </c>
      <c r="C13">
        <v>-0.100285489122359</v>
      </c>
      <c r="D13">
        <v>1.2229871108347201E-2</v>
      </c>
      <c r="E13">
        <v>3.8057592307045598E-2</v>
      </c>
      <c r="H13">
        <v>-2.0666224625718401E-2</v>
      </c>
      <c r="I13">
        <v>0.177960298673279</v>
      </c>
      <c r="J13">
        <v>0.102804670723068</v>
      </c>
      <c r="K13">
        <v>-9.77836074085493E-2</v>
      </c>
      <c r="N13">
        <v>2.9235973111195902E-2</v>
      </c>
      <c r="O13">
        <v>-0.101643612157706</v>
      </c>
      <c r="P13">
        <v>0.108432806857817</v>
      </c>
      <c r="Q13">
        <v>3.8077395567440303E-2</v>
      </c>
    </row>
    <row r="14" spans="1:17" x14ac:dyDescent="0.25">
      <c r="B14">
        <v>3.2890468683863E-2</v>
      </c>
      <c r="C14">
        <v>8.9242765732639104E-2</v>
      </c>
      <c r="D14">
        <v>-1.5738954124510599E-3</v>
      </c>
      <c r="E14">
        <v>-3.7413176889014001E-2</v>
      </c>
      <c r="H14">
        <v>-8.9577370529647302E-2</v>
      </c>
      <c r="I14">
        <v>-9.4716935189492493E-2</v>
      </c>
      <c r="J14">
        <v>-4.1235402996631698E-2</v>
      </c>
      <c r="K14">
        <v>5.3173223929694501E-2</v>
      </c>
      <c r="N14">
        <v>-6.9207333692187104E-3</v>
      </c>
      <c r="O14">
        <v>-4.8848218864368097E-2</v>
      </c>
      <c r="P14">
        <v>-1.8646482023431901E-2</v>
      </c>
      <c r="Q14">
        <v>3.8592176388828098E-4</v>
      </c>
    </row>
    <row r="15" spans="1:17" x14ac:dyDescent="0.25">
      <c r="B15">
        <v>-1.7902663810973898E-2</v>
      </c>
      <c r="C15">
        <v>-3.14543143100486E-3</v>
      </c>
      <c r="D15">
        <v>5.0392725249176998E-2</v>
      </c>
      <c r="E15">
        <v>1.6014591069489E-2</v>
      </c>
      <c r="H15">
        <v>5.5006087534537701E-2</v>
      </c>
      <c r="I15">
        <v>9.6900736524223596E-2</v>
      </c>
      <c r="J15">
        <v>-7.5569480472851105E-4</v>
      </c>
      <c r="K15">
        <v>9.6155677948010304E-2</v>
      </c>
      <c r="N15">
        <v>3.4994862391217102E-2</v>
      </c>
      <c r="O15">
        <v>7.6560008011475902E-2</v>
      </c>
      <c r="P15">
        <v>1.9564601551205301E-2</v>
      </c>
      <c r="Q15">
        <v>1.78416189539626E-2</v>
      </c>
    </row>
    <row r="16" spans="1:17" x14ac:dyDescent="0.25">
      <c r="B16">
        <v>0.109338893577862</v>
      </c>
      <c r="C16">
        <v>0.108852690738323</v>
      </c>
      <c r="D16">
        <v>7.8427934305286107E-2</v>
      </c>
      <c r="E16">
        <v>2.22280841174986E-2</v>
      </c>
      <c r="H16">
        <v>0.22739615913268199</v>
      </c>
      <c r="I16">
        <v>0.13997185283105601</v>
      </c>
      <c r="J16">
        <v>5.1127837462693802E-2</v>
      </c>
      <c r="K16">
        <v>9.0537725473624098E-2</v>
      </c>
      <c r="N16">
        <v>-2.29036529700643E-2</v>
      </c>
      <c r="O16">
        <v>-5.7489639814008099E-2</v>
      </c>
      <c r="P16">
        <v>0.111649994205566</v>
      </c>
      <c r="Q16">
        <v>-2.62692113352497E-2</v>
      </c>
    </row>
    <row r="17" spans="1:17" x14ac:dyDescent="0.25">
      <c r="B17">
        <v>-3.6910904515518997E-2</v>
      </c>
      <c r="C17">
        <v>-2.27138607145509E-2</v>
      </c>
      <c r="D17">
        <v>-5.1702060662429501E-2</v>
      </c>
      <c r="E17">
        <v>4.5561686846147302E-2</v>
      </c>
      <c r="H17">
        <v>1.7168723596346899E-2</v>
      </c>
      <c r="I17">
        <v>7.1827401352517001E-2</v>
      </c>
      <c r="J17">
        <v>-4.84131671999906E-2</v>
      </c>
      <c r="K17">
        <v>0.16867834789928801</v>
      </c>
      <c r="N17">
        <v>6.9174728277551598E-2</v>
      </c>
      <c r="O17">
        <v>0.15488786666533</v>
      </c>
      <c r="P17">
        <v>-6.8588282308422399E-2</v>
      </c>
      <c r="Q17">
        <v>8.4628185487240007E-2</v>
      </c>
    </row>
    <row r="18" spans="1:17" x14ac:dyDescent="0.25">
      <c r="B18">
        <v>8.77422257623727E-2</v>
      </c>
      <c r="C18">
        <v>6.8424167754330606E-2</v>
      </c>
      <c r="D18">
        <v>2.0053635750455798E-2</v>
      </c>
      <c r="E18">
        <v>-2.5461210559797301E-3</v>
      </c>
      <c r="H18">
        <v>-0.103309744437084</v>
      </c>
      <c r="I18">
        <v>1.31570148839538E-3</v>
      </c>
      <c r="J18">
        <v>0.13086381245196399</v>
      </c>
      <c r="K18">
        <v>6.8845334765492996E-2</v>
      </c>
      <c r="N18">
        <v>-8.8215715805077199E-2</v>
      </c>
      <c r="O18">
        <v>7.1840750241502997E-3</v>
      </c>
      <c r="P18">
        <v>-7.76376970225926E-2</v>
      </c>
      <c r="Q18">
        <v>-6.1911105099384997E-4</v>
      </c>
    </row>
    <row r="19" spans="1:17" x14ac:dyDescent="0.25">
      <c r="B19">
        <v>2.9189532302464599E-2</v>
      </c>
      <c r="C19">
        <v>1.38714488279933E-2</v>
      </c>
      <c r="D19">
        <v>3.1950659138383498E-2</v>
      </c>
      <c r="E19">
        <v>-6.1290051068538499E-2</v>
      </c>
      <c r="H19">
        <v>9.5381714297787704E-2</v>
      </c>
      <c r="I19">
        <v>9.7623084494651596E-2</v>
      </c>
      <c r="J19">
        <v>-2.0076739115337802E-2</v>
      </c>
      <c r="K19">
        <v>0.28253927671183199</v>
      </c>
      <c r="N19">
        <v>7.58357105234264E-2</v>
      </c>
      <c r="O19">
        <v>3.04407923303983E-2</v>
      </c>
      <c r="P19">
        <v>1.6998935523373799E-2</v>
      </c>
      <c r="Q19">
        <v>0.15712782698025199</v>
      </c>
    </row>
    <row r="20" spans="1:17" x14ac:dyDescent="0.25">
      <c r="B20">
        <v>1.21598111153432E-2</v>
      </c>
      <c r="C20">
        <v>3.9483639962136899E-2</v>
      </c>
      <c r="D20">
        <v>-4.9939543402743598E-2</v>
      </c>
      <c r="E20">
        <v>-4.9789480118105703E-2</v>
      </c>
      <c r="H20">
        <v>0.105953525809862</v>
      </c>
      <c r="I20">
        <v>0.2277975290149</v>
      </c>
      <c r="J20">
        <v>2.06902728653224E-3</v>
      </c>
      <c r="K20">
        <v>-1.9998570231152999E-3</v>
      </c>
      <c r="N20">
        <v>0.124539150343565</v>
      </c>
      <c r="O20">
        <v>8.6042994686761298E-2</v>
      </c>
      <c r="P20">
        <v>-8.7631464955035508E-3</v>
      </c>
      <c r="Q20">
        <v>0.10630769761273599</v>
      </c>
    </row>
    <row r="21" spans="1:17" x14ac:dyDescent="0.25">
      <c r="B21">
        <v>9.2671656060921995E-2</v>
      </c>
      <c r="C21">
        <v>2.86171378729944E-2</v>
      </c>
      <c r="D21">
        <v>0.10201715818398401</v>
      </c>
      <c r="E21">
        <v>-0.173819097408384</v>
      </c>
      <c r="H21">
        <v>8.1026526388189801E-2</v>
      </c>
      <c r="I21">
        <v>0.10008075439789201</v>
      </c>
      <c r="J21">
        <v>6.9879104799217703E-2</v>
      </c>
      <c r="K21">
        <v>9.6536043043065803E-2</v>
      </c>
      <c r="N21">
        <v>2.08884404775956E-2</v>
      </c>
      <c r="O21">
        <v>-8.9151845152304898E-3</v>
      </c>
      <c r="P21">
        <v>-2.7763155266726298E-2</v>
      </c>
      <c r="Q21">
        <v>-1.2440008127705701E-2</v>
      </c>
    </row>
    <row r="22" spans="1:17" x14ac:dyDescent="0.25">
      <c r="B22">
        <v>0.15963659101116801</v>
      </c>
      <c r="C22">
        <v>0.21249545727882299</v>
      </c>
      <c r="D22">
        <v>6.9601208565477801E-2</v>
      </c>
      <c r="E22">
        <v>6.5427981754272502E-2</v>
      </c>
      <c r="H22">
        <v>0.245152225740386</v>
      </c>
      <c r="I22">
        <v>0.146695830134497</v>
      </c>
      <c r="J22">
        <v>0.22932879846661999</v>
      </c>
      <c r="K22">
        <v>0.12960634571115201</v>
      </c>
      <c r="N22">
        <v>0.1971981426611</v>
      </c>
      <c r="O22">
        <v>0.162602715368307</v>
      </c>
      <c r="P22">
        <v>-5.1045186463690898E-2</v>
      </c>
      <c r="Q22">
        <v>-0.19212991616321001</v>
      </c>
    </row>
    <row r="23" spans="1:17" x14ac:dyDescent="0.25">
      <c r="B23" t="s">
        <v>15</v>
      </c>
      <c r="C23" t="s">
        <v>16</v>
      </c>
      <c r="D23" t="s">
        <v>17</v>
      </c>
      <c r="E23" t="s">
        <v>18</v>
      </c>
      <c r="H23" t="s">
        <v>15</v>
      </c>
      <c r="I23" t="s">
        <v>16</v>
      </c>
      <c r="J23" t="s">
        <v>17</v>
      </c>
      <c r="K23" t="s">
        <v>18</v>
      </c>
      <c r="N23" t="s">
        <v>15</v>
      </c>
      <c r="O23" t="s">
        <v>16</v>
      </c>
      <c r="P23" t="s">
        <v>17</v>
      </c>
      <c r="Q23" t="s">
        <v>18</v>
      </c>
    </row>
    <row r="24" spans="1:17" x14ac:dyDescent="0.25">
      <c r="A24" t="s">
        <v>13</v>
      </c>
      <c r="B24">
        <f>AVERAGE(B2:B22)</f>
        <v>4.6004618288021597E-2</v>
      </c>
      <c r="C24">
        <f>AVERAGE(C2:C22)</f>
        <v>7.3146293667634713E-2</v>
      </c>
      <c r="D24">
        <f>AVERAGE(D2:D22)</f>
        <v>0.1043540459731698</v>
      </c>
      <c r="E24">
        <f>AVERAGE(E2:E22)</f>
        <v>2.500132364881253E-2</v>
      </c>
      <c r="H24">
        <f>AVERAGE(H2:H22)</f>
        <v>0.1011168145730019</v>
      </c>
      <c r="I24">
        <f>AVERAGE(I2:I22)</f>
        <v>0.11683998449610133</v>
      </c>
      <c r="J24">
        <f>AVERAGE(J2:J22)</f>
        <v>0.11665866151442193</v>
      </c>
      <c r="K24">
        <f>AVERAGE(K2:K22)</f>
        <v>5.5942221107823285E-2</v>
      </c>
      <c r="N24">
        <f>AVERAGE(N2:N22)</f>
        <v>5.2077407551073519E-2</v>
      </c>
      <c r="O24">
        <f>AVERAGE(O2:O22)</f>
        <v>6.639839638219841E-2</v>
      </c>
      <c r="P24">
        <f>AVERAGE(P2:P22)</f>
        <v>2.0886701398927687E-2</v>
      </c>
      <c r="Q24">
        <f>AVERAGE(Q2:Q22)</f>
        <v>2.8735242495898556E-2</v>
      </c>
    </row>
    <row r="25" spans="1:17" x14ac:dyDescent="0.25">
      <c r="A25" t="s">
        <v>14</v>
      </c>
      <c r="B25">
        <f>STDEV(B2:B22)</f>
        <v>0.15843861469976997</v>
      </c>
      <c r="C25">
        <f>STDEV(C2:C22)</f>
        <v>0.10411631342429982</v>
      </c>
      <c r="D25">
        <f>STDEV(D2:D22)</f>
        <v>0.23751886081000118</v>
      </c>
      <c r="E25">
        <f>STDEV(E2:E22)</f>
        <v>0.15331072435705295</v>
      </c>
      <c r="H25">
        <f>STDEV(H2:H22)</f>
        <v>0.19273582062654546</v>
      </c>
      <c r="I25">
        <f>STDEV(I2:I22)</f>
        <v>0.1589747544899536</v>
      </c>
      <c r="J25">
        <f>STDEV(J2:J22)</f>
        <v>0.33517802419209464</v>
      </c>
      <c r="K25">
        <f>STDEV(K2:K22)</f>
        <v>0.12488578879025487</v>
      </c>
      <c r="N25">
        <f>STDEV(N2:N22)</f>
        <v>7.0304776454500936E-2</v>
      </c>
      <c r="O25">
        <f>STDEV(O2:O22)</f>
        <v>0.10334172866136165</v>
      </c>
      <c r="P25">
        <f>STDEV(P2:P22)</f>
        <v>0.13957741790436989</v>
      </c>
      <c r="Q25">
        <f>STDEV(Q2:Q22)</f>
        <v>9.8051739714262398E-2</v>
      </c>
    </row>
    <row r="27" spans="1:17" x14ac:dyDescent="0.25">
      <c r="B27">
        <f>TTEST(B2:B22,C2:C22,2,1)</f>
        <v>0.19608829052188173</v>
      </c>
      <c r="H27">
        <f>TTEST(H2:H22,I2:I22,2,1)</f>
        <v>0.43494821985105214</v>
      </c>
      <c r="N27">
        <f>TTEST(N2:N22,O2:O22,2,1)</f>
        <v>0.51437005864380403</v>
      </c>
    </row>
    <row r="28" spans="1:17" x14ac:dyDescent="0.25">
      <c r="B28" s="2">
        <f>TTEST(D2:D22,E2:E22,2,1)</f>
        <v>1.6110466551600179E-2</v>
      </c>
      <c r="H28">
        <f>TTEST(J2:J22,K2:K22,2,1)</f>
        <v>0.42369665959539793</v>
      </c>
      <c r="N28">
        <f>TTEST(P2:P22,Q2:Q22,2,1)</f>
        <v>0.84016779296033339</v>
      </c>
    </row>
    <row r="29" spans="1:17" x14ac:dyDescent="0.25">
      <c r="B29">
        <f>TTEST(B2:B22,D2:D22,2,1)</f>
        <v>0.14999888324684643</v>
      </c>
      <c r="H29">
        <f>TTEST(H2:H22,J2:J22,2,1)</f>
        <v>0.73076618084214418</v>
      </c>
      <c r="N29">
        <f>TTEST(N2:N22,P2:P22,2,1)</f>
        <v>0.3398947611956159</v>
      </c>
    </row>
    <row r="30" spans="1:17" x14ac:dyDescent="0.25">
      <c r="B30">
        <f>TTEST(C2:C22,E2:E22,2,1)</f>
        <v>0.1007894801468376</v>
      </c>
      <c r="H30">
        <f>TTEST(I2:I22,K2:K22,2,1)</f>
        <v>0.16110138087397194</v>
      </c>
      <c r="N30">
        <f>TTEST(O2:O22,Q2:Q22,2,1)</f>
        <v>0.26178719889640906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DB7E-0F9C-4A06-8EF3-CD3F8B644E66}">
  <dimension ref="A1:Q30"/>
  <sheetViews>
    <sheetView workbookViewId="0">
      <selection activeCell="N23" sqref="N23:Q24"/>
    </sheetView>
  </sheetViews>
  <sheetFormatPr defaultRowHeight="15" x14ac:dyDescent="0.25"/>
  <sheetData>
    <row r="1" spans="1:17" x14ac:dyDescent="0.25">
      <c r="A1" t="s">
        <v>19</v>
      </c>
      <c r="B1" t="s">
        <v>1</v>
      </c>
      <c r="C1" t="s">
        <v>2</v>
      </c>
      <c r="D1" t="s">
        <v>3</v>
      </c>
      <c r="E1" t="s">
        <v>4</v>
      </c>
      <c r="G1" t="s">
        <v>20</v>
      </c>
      <c r="H1" t="s">
        <v>1</v>
      </c>
      <c r="I1" t="s">
        <v>2</v>
      </c>
      <c r="J1" t="s">
        <v>3</v>
      </c>
      <c r="K1" t="s">
        <v>4</v>
      </c>
      <c r="M1" t="s">
        <v>21</v>
      </c>
      <c r="N1" t="s">
        <v>1</v>
      </c>
      <c r="O1" t="s">
        <v>2</v>
      </c>
      <c r="P1" t="s">
        <v>3</v>
      </c>
      <c r="Q1" t="s">
        <v>4</v>
      </c>
    </row>
    <row r="2" spans="1:17" x14ac:dyDescent="0.25">
      <c r="B2">
        <v>5.5103936969812403E-2</v>
      </c>
      <c r="C2">
        <v>1.9661176496626898E-2</v>
      </c>
      <c r="D2">
        <v>6.0791738481778601E-2</v>
      </c>
      <c r="E2">
        <v>-3.0078052377050898E-2</v>
      </c>
      <c r="H2">
        <v>-7.0956012172110103E-2</v>
      </c>
      <c r="I2">
        <v>8.8358994519506504E-2</v>
      </c>
      <c r="J2">
        <v>2.7272000401578501E-2</v>
      </c>
      <c r="K2">
        <v>7.2649190083238002E-2</v>
      </c>
      <c r="N2">
        <v>-3.7627384732578303E-2</v>
      </c>
      <c r="O2">
        <v>-0.14063002635692401</v>
      </c>
      <c r="P2">
        <v>6.1614217287702597E-2</v>
      </c>
      <c r="Q2">
        <v>-1.2801629011500301E-2</v>
      </c>
    </row>
    <row r="3" spans="1:17" x14ac:dyDescent="0.25">
      <c r="B3">
        <v>0.122838175229844</v>
      </c>
      <c r="C3">
        <v>0.14245892921786299</v>
      </c>
      <c r="D3">
        <v>3.4264646757331402E-2</v>
      </c>
      <c r="E3">
        <v>-5.3330195493581901E-2</v>
      </c>
      <c r="H3">
        <v>0.15378290570157499</v>
      </c>
      <c r="I3">
        <v>0.32522210751721597</v>
      </c>
      <c r="J3">
        <v>8.0391843095822701E-2</v>
      </c>
      <c r="K3">
        <v>-3.3837419899641202E-2</v>
      </c>
      <c r="N3">
        <v>0.23985636930825999</v>
      </c>
      <c r="O3">
        <v>0.262752649809046</v>
      </c>
      <c r="P3">
        <v>-0.24847879722666499</v>
      </c>
      <c r="Q3">
        <v>-7.4472188906498496E-2</v>
      </c>
    </row>
    <row r="4" spans="1:17" x14ac:dyDescent="0.25">
      <c r="B4">
        <v>9.22076658016441E-4</v>
      </c>
      <c r="C4">
        <v>6.5639903308850306E-2</v>
      </c>
      <c r="D4">
        <v>0.1170638390443</v>
      </c>
      <c r="E4">
        <v>-0.15008697793672199</v>
      </c>
      <c r="H4">
        <v>-0.200018643907765</v>
      </c>
      <c r="I4">
        <v>-1.9320722192227802E-2</v>
      </c>
      <c r="J4">
        <v>5.44134244905458E-2</v>
      </c>
      <c r="K4">
        <v>6.4463543979158197E-2</v>
      </c>
      <c r="N4">
        <v>5.2881398234303302E-2</v>
      </c>
      <c r="O4">
        <v>0.10707606658454701</v>
      </c>
      <c r="P4">
        <v>-3.0552934529259001E-3</v>
      </c>
      <c r="Q4">
        <v>0.109989260526348</v>
      </c>
    </row>
    <row r="5" spans="1:17" x14ac:dyDescent="0.25">
      <c r="B5">
        <v>0.37536186603331201</v>
      </c>
      <c r="C5">
        <v>0.13883136327982001</v>
      </c>
      <c r="D5">
        <v>-5.0949534102332002E-2</v>
      </c>
      <c r="E5">
        <v>-2.6813239010784799E-2</v>
      </c>
      <c r="H5">
        <v>0.54508241031712501</v>
      </c>
      <c r="I5">
        <v>5.6691539020318198E-2</v>
      </c>
      <c r="J5">
        <v>0.118773573383726</v>
      </c>
      <c r="K5">
        <v>-6.2471199688813601E-2</v>
      </c>
      <c r="N5">
        <v>-7.1953974159261302E-2</v>
      </c>
      <c r="O5">
        <v>6.64379973446175E-2</v>
      </c>
      <c r="P5">
        <v>0.48604355189418402</v>
      </c>
      <c r="Q5">
        <v>0.123277580174663</v>
      </c>
    </row>
    <row r="6" spans="1:17" x14ac:dyDescent="0.25">
      <c r="B6">
        <v>0.113514542136832</v>
      </c>
      <c r="C6">
        <v>0.14189905441796999</v>
      </c>
      <c r="D6">
        <v>1.8550670738457599E-2</v>
      </c>
      <c r="E6">
        <v>0.20399268996923101</v>
      </c>
      <c r="H6">
        <v>8.13611206399531E-2</v>
      </c>
      <c r="I6">
        <v>0.51125240266219096</v>
      </c>
      <c r="J6">
        <v>-1.67638506065853E-2</v>
      </c>
      <c r="K6">
        <v>0.129931991854425</v>
      </c>
      <c r="N6">
        <v>0.12939707061567199</v>
      </c>
      <c r="O6">
        <v>0.12586799842131699</v>
      </c>
      <c r="P6">
        <v>1.9934728850198799E-2</v>
      </c>
      <c r="Q6">
        <v>8.1914734855785903E-2</v>
      </c>
    </row>
    <row r="7" spans="1:17" x14ac:dyDescent="0.25">
      <c r="B7">
        <v>-9.5218469794623693E-3</v>
      </c>
      <c r="C7">
        <v>4.5450681848006203E-3</v>
      </c>
      <c r="D7">
        <v>3.85174821455E-2</v>
      </c>
      <c r="E7">
        <v>-0.95853440763645903</v>
      </c>
      <c r="H7">
        <v>-9.7006148063880401E-2</v>
      </c>
      <c r="I7">
        <v>0.12513228382865199</v>
      </c>
      <c r="J7">
        <v>-6.8540902114075306E-2</v>
      </c>
      <c r="K7">
        <v>-0.18681077772940399</v>
      </c>
      <c r="N7">
        <v>-6.7646593171865096E-2</v>
      </c>
      <c r="O7">
        <v>-1.3771365954732899E-2</v>
      </c>
      <c r="P7">
        <v>-0.13759273171434999</v>
      </c>
      <c r="Q7">
        <v>6.4573373962520206E-2</v>
      </c>
    </row>
    <row r="8" spans="1:17" x14ac:dyDescent="0.25">
      <c r="B8">
        <v>1.2173609397619699E-2</v>
      </c>
      <c r="C8">
        <v>-0.13064313004956599</v>
      </c>
      <c r="D8">
        <v>7.53103607846346E-2</v>
      </c>
      <c r="E8">
        <v>0.109413779837923</v>
      </c>
      <c r="H8">
        <v>-4.6115210915016698E-2</v>
      </c>
      <c r="I8">
        <v>-5.5709487954065197E-2</v>
      </c>
      <c r="J8">
        <v>0.20725162587447801</v>
      </c>
      <c r="K8">
        <v>-4.6018306447555703E-2</v>
      </c>
      <c r="N8">
        <v>0.159100182973549</v>
      </c>
      <c r="O8">
        <v>-2.70865281135504E-2</v>
      </c>
      <c r="P8">
        <v>9.0404596048767397E-2</v>
      </c>
      <c r="Q8">
        <v>-9.3420089879131099E-2</v>
      </c>
    </row>
    <row r="9" spans="1:17" x14ac:dyDescent="0.25">
      <c r="B9">
        <v>-8.0739517822949206E-2</v>
      </c>
      <c r="C9">
        <v>1.7822390652635401E-2</v>
      </c>
      <c r="D9">
        <v>9.1457706417655493E-2</v>
      </c>
      <c r="E9">
        <v>0.132080683876449</v>
      </c>
      <c r="H9">
        <v>-9.8919405172797403E-2</v>
      </c>
      <c r="I9">
        <v>4.6281372250922097E-2</v>
      </c>
      <c r="J9">
        <v>-9.4118732437312294E-2</v>
      </c>
      <c r="K9">
        <v>-8.2141790539521004E-4</v>
      </c>
      <c r="N9">
        <v>1.7414061591346001E-2</v>
      </c>
      <c r="O9">
        <v>5.4146871037877402E-2</v>
      </c>
      <c r="P9">
        <v>-8.70106446086793E-2</v>
      </c>
      <c r="Q9">
        <v>0.109179103113985</v>
      </c>
    </row>
    <row r="10" spans="1:17" x14ac:dyDescent="0.25">
      <c r="B10">
        <v>8.8546350729408502E-2</v>
      </c>
      <c r="C10">
        <v>5.96871052010335E-2</v>
      </c>
      <c r="D10">
        <v>-1.6049163060747801E-2</v>
      </c>
      <c r="E10">
        <v>2.59534934884183E-2</v>
      </c>
      <c r="H10">
        <v>-5.3261434680404202E-2</v>
      </c>
      <c r="I10">
        <v>1.2046891206356901E-2</v>
      </c>
      <c r="J10">
        <v>-8.27856964655862E-2</v>
      </c>
      <c r="K10">
        <v>9.1250862315776698E-2</v>
      </c>
      <c r="N10">
        <v>-1.17465892018743E-2</v>
      </c>
      <c r="O10">
        <v>-0.115225326304167</v>
      </c>
      <c r="P10">
        <v>7.2623113646446205E-2</v>
      </c>
      <c r="Q10">
        <v>-2.82477971607604E-2</v>
      </c>
    </row>
    <row r="11" spans="1:17" x14ac:dyDescent="0.25">
      <c r="B11">
        <v>-0.130926075329408</v>
      </c>
      <c r="C11">
        <v>6.0540880394198797E-2</v>
      </c>
      <c r="D11">
        <v>6.8282302733375802E-3</v>
      </c>
      <c r="E11">
        <v>-4.6653407939441997E-2</v>
      </c>
      <c r="H11">
        <v>-0.151036981092218</v>
      </c>
      <c r="I11">
        <v>-6.3228224565549402E-3</v>
      </c>
      <c r="J11">
        <v>-3.2839609504339701E-2</v>
      </c>
      <c r="K11">
        <v>-1.10927212973212E-2</v>
      </c>
      <c r="N11">
        <v>1.16079882902019E-2</v>
      </c>
      <c r="O11">
        <v>-8.8556609059594702E-3</v>
      </c>
      <c r="P11">
        <v>-4.02965394606545E-2</v>
      </c>
      <c r="Q11">
        <v>-2.4229045414754899E-3</v>
      </c>
    </row>
    <row r="12" spans="1:17" x14ac:dyDescent="0.25">
      <c r="B12">
        <v>8.5773763374306602E-2</v>
      </c>
      <c r="C12">
        <v>-2.8645822657434501E-2</v>
      </c>
      <c r="D12">
        <v>-2.5518380875378999E-2</v>
      </c>
      <c r="E12">
        <v>-3.9048615853073301E-2</v>
      </c>
      <c r="H12">
        <v>0.142331281638435</v>
      </c>
      <c r="I12">
        <v>-5.0894019851694401E-2</v>
      </c>
      <c r="J12">
        <v>0.26975605238800099</v>
      </c>
      <c r="K12">
        <v>0.18329483923192999</v>
      </c>
      <c r="N12">
        <v>3.7727159007685002E-2</v>
      </c>
      <c r="O12">
        <v>6.4257923858638599E-2</v>
      </c>
      <c r="P12">
        <v>0.106138140402074</v>
      </c>
      <c r="Q12">
        <v>2.2095521905377401E-2</v>
      </c>
    </row>
    <row r="13" spans="1:17" x14ac:dyDescent="0.25">
      <c r="B13">
        <v>0.123061798870303</v>
      </c>
      <c r="C13">
        <v>7.1392298329119599E-2</v>
      </c>
      <c r="D13">
        <v>0.17578396082353301</v>
      </c>
      <c r="E13">
        <v>-3.2754272428235802E-2</v>
      </c>
      <c r="H13">
        <v>4.8266114734684298E-2</v>
      </c>
      <c r="I13">
        <v>0.18421661459553401</v>
      </c>
      <c r="J13">
        <v>0.107913566402892</v>
      </c>
      <c r="K13">
        <v>6.3711365558106997E-2</v>
      </c>
      <c r="N13">
        <v>5.9604397935498703E-2</v>
      </c>
      <c r="O13">
        <v>-3.3389391584645899E-2</v>
      </c>
      <c r="P13">
        <v>5.1328064987039602E-2</v>
      </c>
      <c r="Q13">
        <v>8.5624541629474901E-2</v>
      </c>
    </row>
    <row r="14" spans="1:17" x14ac:dyDescent="0.25">
      <c r="B14">
        <v>4.1675934652653901E-2</v>
      </c>
      <c r="C14">
        <v>3.1611089024759301E-2</v>
      </c>
      <c r="D14">
        <v>-6.6101857783638598E-2</v>
      </c>
      <c r="E14">
        <v>7.19603233600003E-2</v>
      </c>
      <c r="H14">
        <v>9.6967587363489302E-2</v>
      </c>
      <c r="I14">
        <v>3.3168183981182799E-2</v>
      </c>
      <c r="J14">
        <v>-5.5110736501198798E-2</v>
      </c>
      <c r="K14">
        <v>5.9786176163762902E-2</v>
      </c>
      <c r="N14">
        <v>-3.4099703563823802E-2</v>
      </c>
      <c r="O14">
        <v>-1.6522402271764099E-2</v>
      </c>
      <c r="P14">
        <v>-4.5208016841361102E-3</v>
      </c>
      <c r="Q14">
        <v>-2.3851494063484701E-2</v>
      </c>
    </row>
    <row r="15" spans="1:17" x14ac:dyDescent="0.25">
      <c r="B15">
        <v>-5.58528422263459E-2</v>
      </c>
      <c r="C15">
        <v>-0.10754033024317899</v>
      </c>
      <c r="D15">
        <v>-2.2198478448525402E-2</v>
      </c>
      <c r="E15">
        <v>1.8629995087251199E-2</v>
      </c>
      <c r="H15">
        <v>-5.3636407029255997E-2</v>
      </c>
      <c r="I15">
        <v>-6.6207354924608094E-2</v>
      </c>
      <c r="J15">
        <v>-8.9353244977906601E-2</v>
      </c>
      <c r="K15">
        <v>9.7753030160119395E-2</v>
      </c>
      <c r="N15">
        <v>6.5208631423256405E-2</v>
      </c>
      <c r="O15">
        <v>0.11011179792485901</v>
      </c>
      <c r="P15">
        <v>3.5588190669640397E-2</v>
      </c>
      <c r="Q15">
        <v>5.7145943479484602E-2</v>
      </c>
    </row>
    <row r="16" spans="1:17" x14ac:dyDescent="0.25">
      <c r="B16">
        <v>4.5130759969907702E-2</v>
      </c>
      <c r="C16">
        <v>9.882208074321571E-4</v>
      </c>
      <c r="D16">
        <v>1.56294158247283E-2</v>
      </c>
      <c r="E16">
        <v>0.15063662762645</v>
      </c>
      <c r="H16">
        <v>-4.4115313427054201E-2</v>
      </c>
      <c r="I16">
        <v>-6.4272339491001196E-2</v>
      </c>
      <c r="J16">
        <v>2.0510272495277902E-2</v>
      </c>
      <c r="K16">
        <v>-1.16066951309165E-2</v>
      </c>
      <c r="N16">
        <v>3.8795331957687702E-2</v>
      </c>
      <c r="O16">
        <v>-6.4999897467971097E-3</v>
      </c>
      <c r="P16">
        <v>-3.3253391690854402E-3</v>
      </c>
      <c r="Q16">
        <v>2.7806770578355299E-2</v>
      </c>
    </row>
    <row r="17" spans="1:17" x14ac:dyDescent="0.25">
      <c r="B17">
        <v>6.6667560395907099E-2</v>
      </c>
      <c r="C17">
        <v>9.1462278638744204E-2</v>
      </c>
      <c r="D17">
        <v>-3.4050986919484501E-2</v>
      </c>
      <c r="E17">
        <v>-5.5467349139582704E-3</v>
      </c>
      <c r="H17">
        <v>-2.5856506952954099E-2</v>
      </c>
      <c r="I17">
        <v>-9.42983671181164E-2</v>
      </c>
      <c r="J17">
        <v>0.19327110637223499</v>
      </c>
      <c r="K17">
        <v>-5.1339294639681399E-2</v>
      </c>
      <c r="N17">
        <v>-3.8174373865786301E-2</v>
      </c>
      <c r="O17">
        <v>6.7270875255712403E-2</v>
      </c>
      <c r="P17">
        <v>-4.2672702776587898E-2</v>
      </c>
      <c r="Q17">
        <v>0.134606569238747</v>
      </c>
    </row>
    <row r="18" spans="1:17" x14ac:dyDescent="0.25">
      <c r="B18">
        <v>-7.5848717968742096E-2</v>
      </c>
      <c r="C18">
        <v>1.42801977667124E-2</v>
      </c>
      <c r="D18">
        <v>-6.8603956638062097E-2</v>
      </c>
      <c r="E18">
        <v>0.128902028390222</v>
      </c>
      <c r="H18">
        <v>4.7310908602440603E-2</v>
      </c>
      <c r="I18">
        <v>4.0694448922781901E-2</v>
      </c>
      <c r="J18">
        <v>0.115977493514293</v>
      </c>
      <c r="K18">
        <v>0.188847203631021</v>
      </c>
      <c r="N18">
        <v>-2.58716753360928E-2</v>
      </c>
      <c r="O18">
        <v>7.42784067960474E-2</v>
      </c>
      <c r="P18">
        <v>0.13188509511577101</v>
      </c>
      <c r="Q18">
        <v>0.101262455090377</v>
      </c>
    </row>
    <row r="19" spans="1:17" x14ac:dyDescent="0.25">
      <c r="B19">
        <v>-2.4418994131943799E-2</v>
      </c>
      <c r="C19">
        <v>-1.54991466876102E-2</v>
      </c>
      <c r="D19">
        <v>-2.6029621651452801E-2</v>
      </c>
      <c r="E19">
        <v>5.8108193788199702E-2</v>
      </c>
      <c r="H19">
        <v>-8.4317008270640995E-2</v>
      </c>
      <c r="I19">
        <v>-6.4794097459594094E-2</v>
      </c>
      <c r="J19">
        <v>-8.6033361522367194E-2</v>
      </c>
      <c r="K19">
        <v>3.3106277536519298E-2</v>
      </c>
      <c r="N19">
        <v>-6.05792490991197E-2</v>
      </c>
      <c r="O19">
        <v>-4.2097730248216197E-2</v>
      </c>
      <c r="P19">
        <v>-5.08789403689828E-2</v>
      </c>
      <c r="Q19">
        <v>-6.3391635317108105E-2</v>
      </c>
    </row>
    <row r="20" spans="1:17" x14ac:dyDescent="0.25">
      <c r="B20">
        <v>-7.8690060731830297E-2</v>
      </c>
      <c r="C20">
        <v>9.0328590876550298E-3</v>
      </c>
      <c r="D20">
        <v>0.15570056509232599</v>
      </c>
      <c r="E20">
        <v>-8.4283542959382601E-4</v>
      </c>
      <c r="H20">
        <v>0.108888804360634</v>
      </c>
      <c r="I20">
        <v>1.8682496239621298E-2</v>
      </c>
      <c r="J20">
        <v>-0.131481173515125</v>
      </c>
      <c r="K20">
        <v>1.5798750692943699E-2</v>
      </c>
      <c r="N20">
        <v>0.165598828584924</v>
      </c>
      <c r="O20">
        <v>-1.57733792844655E-2</v>
      </c>
      <c r="P20">
        <v>3.3649906394223598E-2</v>
      </c>
      <c r="Q20">
        <v>5.4964896969120103E-2</v>
      </c>
    </row>
    <row r="21" spans="1:17" x14ac:dyDescent="0.25">
      <c r="B21">
        <v>0.116902224708132</v>
      </c>
      <c r="C21">
        <v>3.1592059115039803E-2</v>
      </c>
      <c r="D21">
        <v>-9.1099461320016506E-2</v>
      </c>
      <c r="E21">
        <v>7.3563983700889499E-2</v>
      </c>
      <c r="H21">
        <v>8.2357871562515998E-3</v>
      </c>
      <c r="I21">
        <v>6.52896911881862E-2</v>
      </c>
      <c r="J21">
        <v>2.5836946220335399E-2</v>
      </c>
      <c r="K21">
        <v>8.2164783639094893E-2</v>
      </c>
      <c r="N21">
        <v>3.5871659615569797E-2</v>
      </c>
      <c r="O21">
        <v>-4.26000665258775E-2</v>
      </c>
      <c r="P21">
        <v>0.128242013774029</v>
      </c>
      <c r="Q21">
        <v>6.4499078578707902E-2</v>
      </c>
    </row>
    <row r="22" spans="1:17" x14ac:dyDescent="0.25">
      <c r="B22">
        <v>-1.75788760471376E-2</v>
      </c>
      <c r="C22">
        <v>-4.1830252885125797E-2</v>
      </c>
      <c r="D22">
        <v>-0.111102506586179</v>
      </c>
      <c r="E22">
        <v>0.122426933582787</v>
      </c>
      <c r="H22">
        <v>0.243134488567017</v>
      </c>
      <c r="I22">
        <v>-5.7960450000136103E-2</v>
      </c>
      <c r="J22">
        <v>4.4678480570640002E-3</v>
      </c>
      <c r="K22">
        <v>-7.0006490333914498E-2</v>
      </c>
      <c r="N22">
        <v>1.41624160177022E-2</v>
      </c>
      <c r="O22">
        <v>-0.19544124151032599</v>
      </c>
      <c r="P22">
        <v>-0.16038023346264901</v>
      </c>
      <c r="Q22">
        <v>-2.2350364031387099E-2</v>
      </c>
    </row>
    <row r="23" spans="1:17" x14ac:dyDescent="0.25">
      <c r="B23" t="s">
        <v>15</v>
      </c>
      <c r="C23" t="s">
        <v>16</v>
      </c>
      <c r="D23" t="s">
        <v>17</v>
      </c>
      <c r="E23" t="s">
        <v>18</v>
      </c>
      <c r="H23" t="s">
        <v>15</v>
      </c>
      <c r="I23" t="s">
        <v>16</v>
      </c>
      <c r="J23" t="s">
        <v>17</v>
      </c>
      <c r="K23" t="s">
        <v>18</v>
      </c>
      <c r="N23" t="s">
        <v>15</v>
      </c>
      <c r="O23" t="s">
        <v>16</v>
      </c>
      <c r="P23" t="s">
        <v>17</v>
      </c>
      <c r="Q23" t="s">
        <v>18</v>
      </c>
    </row>
    <row r="24" spans="1:17" x14ac:dyDescent="0.25">
      <c r="A24" t="s">
        <v>13</v>
      </c>
      <c r="B24">
        <f>AVERAGE(B2:B22)</f>
        <v>3.6861698470868384E-2</v>
      </c>
      <c r="C24">
        <f>AVERAGE(C2:C22)</f>
        <v>2.7489818638111691E-2</v>
      </c>
      <c r="D24">
        <f>AVERAGE(D2:D22)</f>
        <v>1.324736519036976E-2</v>
      </c>
      <c r="E24">
        <f>AVERAGE(E2:E22)</f>
        <v>-1.1810476491003842E-2</v>
      </c>
      <c r="H24">
        <f>AVERAGE(H2:H22)</f>
        <v>2.6196301780833705E-2</v>
      </c>
      <c r="I24">
        <f>AVERAGE(I2:I22)</f>
        <v>4.8917017356403358E-2</v>
      </c>
      <c r="J24">
        <f>AVERAGE(J2:J22)</f>
        <v>2.7086116431035857E-2</v>
      </c>
      <c r="K24">
        <f>AVERAGE(K2:K22)</f>
        <v>2.8988271036831083E-2</v>
      </c>
      <c r="N24">
        <f>AVERAGE(N2:N22)</f>
        <v>3.2358378686916878E-2</v>
      </c>
      <c r="O24">
        <f>AVERAGE(O2:O22)</f>
        <v>1.3062260867868394E-2</v>
      </c>
      <c r="P24">
        <f>AVERAGE(P2:P22)</f>
        <v>2.0916171197398126E-2</v>
      </c>
      <c r="Q24">
        <f>AVERAGE(Q2:Q22)</f>
        <v>3.4094367961504793E-2</v>
      </c>
    </row>
    <row r="25" spans="1:17" x14ac:dyDescent="0.25">
      <c r="A25" t="s">
        <v>14</v>
      </c>
      <c r="B25">
        <f>STDEV(B2:B22)</f>
        <v>0.10850567795290578</v>
      </c>
      <c r="C25">
        <f>STDEV(C2:C22)</f>
        <v>7.1862679272727312E-2</v>
      </c>
      <c r="D25">
        <f>STDEV(D2:D22)</f>
        <v>7.8018905765380203E-2</v>
      </c>
      <c r="E25">
        <f>STDEV(E2:E22)</f>
        <v>0.233234949217481</v>
      </c>
      <c r="H25">
        <f>STDEV(H2:H22)</f>
        <v>0.1616870840650256</v>
      </c>
      <c r="I25">
        <f>STDEV(I2:I22)</f>
        <v>0.14460972274703096</v>
      </c>
      <c r="J25">
        <f>STDEV(J2:J22)</f>
        <v>0.11082119081971788</v>
      </c>
      <c r="K25">
        <f>STDEV(K2:K22)</f>
        <v>8.983333016779467E-2</v>
      </c>
      <c r="N25">
        <f>STDEV(N2:N22)</f>
        <v>8.3289769878363104E-2</v>
      </c>
      <c r="O25">
        <f>STDEV(O2:O22)</f>
        <v>0.10097641704272538</v>
      </c>
      <c r="P25">
        <f>STDEV(P2:P22)</f>
        <v>0.14402616971130636</v>
      </c>
      <c r="Q25">
        <f>STDEV(Q2:Q22)</f>
        <v>6.8346489267897104E-2</v>
      </c>
    </row>
    <row r="27" spans="1:17" x14ac:dyDescent="0.25">
      <c r="B27">
        <f>TTEST(B2:B22,C2:C22,2,1)</f>
        <v>0.64960400402443996</v>
      </c>
      <c r="H27">
        <f>TTEST(H2:H22,I2:I22,2,1)</f>
        <v>0.59992002956471713</v>
      </c>
      <c r="N27">
        <f>TTEST(N2:N22,O2:O22,2,1)</f>
        <v>0.37955655910613284</v>
      </c>
    </row>
    <row r="28" spans="1:17" x14ac:dyDescent="0.25">
      <c r="B28">
        <f>TTEST(D2:D22,E2:E22,2,1)</f>
        <v>0.66281704118632234</v>
      </c>
      <c r="H28">
        <f>TTEST(J2:J22,K2:K22,2,1)</f>
        <v>0.94852142211264878</v>
      </c>
      <c r="N28">
        <f>TTEST(P2:P22,Q2:Q22,2,1)</f>
        <v>0.66236053474160905</v>
      </c>
    </row>
    <row r="29" spans="1:17" x14ac:dyDescent="0.25">
      <c r="B29">
        <f>TTEST(B2:B22,D2:D22,2,1)</f>
        <v>0.45976909680160083</v>
      </c>
      <c r="H29">
        <f>TTEST(H2:H22,J2:J22,2,1)</f>
        <v>0.98092151781260828</v>
      </c>
      <c r="N29">
        <f>TTEST(N2:N22,P2:P22,2,1)</f>
        <v>0.78093180044257871</v>
      </c>
    </row>
    <row r="30" spans="1:17" x14ac:dyDescent="0.25">
      <c r="B30">
        <f>TTEST(C2:C22,E2:E22,2,1)</f>
        <v>0.47159000804416018</v>
      </c>
      <c r="H30">
        <f>TTEST(I2:I22,K2:K22,2,1)</f>
        <v>0.57993163481997367</v>
      </c>
      <c r="N30">
        <f>TTEST(O2:O22,Q2:Q22,2,1)</f>
        <v>0.36826030124489595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46CB-D6D0-429A-8987-B58FF1087599}">
  <dimension ref="A1:Q30"/>
  <sheetViews>
    <sheetView tabSelected="1" topLeftCell="A10" workbookViewId="0">
      <selection activeCell="S34" sqref="S34"/>
    </sheetView>
  </sheetViews>
  <sheetFormatPr defaultRowHeight="15" x14ac:dyDescent="0.25"/>
  <sheetData>
    <row r="1" spans="1:17" x14ac:dyDescent="0.25">
      <c r="A1" t="s">
        <v>22</v>
      </c>
      <c r="B1" t="s">
        <v>1</v>
      </c>
      <c r="C1" t="s">
        <v>2</v>
      </c>
      <c r="D1" t="s">
        <v>3</v>
      </c>
      <c r="E1" t="s">
        <v>4</v>
      </c>
      <c r="G1" t="s">
        <v>9</v>
      </c>
      <c r="H1" t="s">
        <v>1</v>
      </c>
      <c r="I1" t="s">
        <v>2</v>
      </c>
      <c r="J1" t="s">
        <v>3</v>
      </c>
      <c r="K1" t="s">
        <v>4</v>
      </c>
      <c r="M1" t="s">
        <v>23</v>
      </c>
      <c r="N1" t="s">
        <v>1</v>
      </c>
      <c r="O1" t="s">
        <v>2</v>
      </c>
      <c r="P1" t="s">
        <v>3</v>
      </c>
      <c r="Q1" t="s">
        <v>4</v>
      </c>
    </row>
    <row r="2" spans="1:17" x14ac:dyDescent="0.25">
      <c r="B2">
        <v>5.1352868501627201E-2</v>
      </c>
      <c r="C2">
        <v>5.8517277010211199E-2</v>
      </c>
      <c r="D2">
        <v>0.103709359995551</v>
      </c>
      <c r="E2">
        <v>7.4546258332422602E-3</v>
      </c>
      <c r="H2">
        <v>-8.6734973293163195E-2</v>
      </c>
      <c r="I2">
        <v>-9.7978367537167793E-2</v>
      </c>
      <c r="J2">
        <v>-9.5923661626863499E-2</v>
      </c>
      <c r="K2">
        <v>2.0810635229153501E-3</v>
      </c>
      <c r="N2">
        <v>7.2549032518622603E-2</v>
      </c>
      <c r="O2">
        <v>3.6731720420019903E-2</v>
      </c>
      <c r="P2">
        <v>-3.5250878162541403E-2</v>
      </c>
      <c r="Q2">
        <v>1.8527900581603099E-2</v>
      </c>
    </row>
    <row r="3" spans="1:17" x14ac:dyDescent="0.25">
      <c r="B3">
        <v>-1.6024505203266801E-2</v>
      </c>
      <c r="C3">
        <v>-0.11928381363372</v>
      </c>
      <c r="D3">
        <v>0.18891748542188799</v>
      </c>
      <c r="E3">
        <v>-5.6633322365125298E-2</v>
      </c>
      <c r="H3">
        <v>5.8487220428967299E-2</v>
      </c>
      <c r="I3">
        <v>8.1744192819929104E-2</v>
      </c>
      <c r="J3">
        <v>-2.16143940908179E-2</v>
      </c>
      <c r="K3">
        <v>-4.0092753765727303E-2</v>
      </c>
      <c r="N3">
        <v>3.69160774879225E-2</v>
      </c>
      <c r="O3">
        <v>-8.1632798165639005E-3</v>
      </c>
      <c r="P3">
        <v>1.6455240505103701E-2</v>
      </c>
      <c r="Q3">
        <v>4.1313004097324003E-2</v>
      </c>
    </row>
    <row r="4" spans="1:17" x14ac:dyDescent="0.25">
      <c r="B4">
        <v>9.1689102146739407E-2</v>
      </c>
      <c r="C4">
        <v>1.1361849678380701E-2</v>
      </c>
      <c r="D4">
        <v>-0.14758753057600099</v>
      </c>
      <c r="E4">
        <v>-8.93508951993571E-2</v>
      </c>
      <c r="H4">
        <v>1.19987457352302E-2</v>
      </c>
      <c r="I4">
        <v>6.48598011524055E-2</v>
      </c>
      <c r="J4">
        <v>2.1094531081359402E-2</v>
      </c>
      <c r="K4">
        <v>-4.8412716790977903E-2</v>
      </c>
      <c r="N4">
        <v>-7.2880312585784396E-2</v>
      </c>
      <c r="O4">
        <v>2.4244114015818E-2</v>
      </c>
      <c r="P4">
        <v>-3.7294908498530802E-2</v>
      </c>
      <c r="Q4">
        <v>-2.40611231897414E-2</v>
      </c>
    </row>
    <row r="5" spans="1:17" x14ac:dyDescent="0.25">
      <c r="B5">
        <v>0.105677227880018</v>
      </c>
      <c r="C5">
        <v>-0.17793377507275601</v>
      </c>
      <c r="D5">
        <v>4.5121689479512797E-2</v>
      </c>
      <c r="E5">
        <v>6.4335414970512997E-2</v>
      </c>
      <c r="H5">
        <v>2.8574276962418502E-2</v>
      </c>
      <c r="I5">
        <v>-0.218086137668664</v>
      </c>
      <c r="J5">
        <v>5.7859442708018197E-2</v>
      </c>
      <c r="K5">
        <v>0.34938400562802702</v>
      </c>
      <c r="N5">
        <v>-0.21965429140759701</v>
      </c>
      <c r="O5">
        <v>8.41061977138233E-2</v>
      </c>
      <c r="P5">
        <v>-0.242431848793147</v>
      </c>
      <c r="Q5">
        <v>1.1227782180880999E-3</v>
      </c>
    </row>
    <row r="6" spans="1:17" x14ac:dyDescent="0.25">
      <c r="B6">
        <v>3.2906679275559202E-2</v>
      </c>
      <c r="C6">
        <v>5.7037538657254E-2</v>
      </c>
      <c r="D6">
        <v>7.4486145827457703E-2</v>
      </c>
      <c r="E6">
        <v>3.5928047077420602E-2</v>
      </c>
      <c r="H6">
        <v>1.9216645452979499E-2</v>
      </c>
      <c r="I6">
        <v>7.2773667415981194E-2</v>
      </c>
      <c r="J6">
        <v>1.4646434071812301E-2</v>
      </c>
      <c r="K6">
        <v>-6.2631759912191595E-2</v>
      </c>
      <c r="N6">
        <v>9.3448758954869898E-2</v>
      </c>
      <c r="O6">
        <v>0.107558548504115</v>
      </c>
      <c r="P6">
        <v>-1.98181270593328E-2</v>
      </c>
      <c r="Q6">
        <v>6.99851477993748E-3</v>
      </c>
    </row>
    <row r="7" spans="1:17" x14ac:dyDescent="0.25">
      <c r="B7">
        <v>-7.7851004970657901E-3</v>
      </c>
      <c r="C7">
        <v>-0.13442015772920701</v>
      </c>
      <c r="D7">
        <v>9.7024498913656596E-2</v>
      </c>
      <c r="E7">
        <v>-4.1260189065628901E-2</v>
      </c>
      <c r="H7">
        <v>-4.3974880866630102E-2</v>
      </c>
      <c r="I7">
        <v>-4.1136553647891302E-2</v>
      </c>
      <c r="J7">
        <v>9.2439110840081398E-2</v>
      </c>
      <c r="K7">
        <v>3.9728890843936E-2</v>
      </c>
      <c r="N7">
        <v>2.51084991720293E-2</v>
      </c>
      <c r="O7">
        <v>-2.33509922585164E-2</v>
      </c>
      <c r="P7">
        <v>-2.4815854624828299E-3</v>
      </c>
      <c r="Q7">
        <v>6.9932342385871094E-2</v>
      </c>
    </row>
    <row r="8" spans="1:17" x14ac:dyDescent="0.25">
      <c r="B8">
        <v>-4.1281083996936203E-2</v>
      </c>
      <c r="C8">
        <v>-9.3004287853344206E-2</v>
      </c>
      <c r="D8">
        <v>5.27275077985686E-2</v>
      </c>
      <c r="E8">
        <v>1.05212358064561E-2</v>
      </c>
      <c r="H8">
        <v>-6.79880716807333E-3</v>
      </c>
      <c r="I8">
        <v>4.9119619664570097E-2</v>
      </c>
      <c r="J8">
        <v>-7.5086392594882201E-2</v>
      </c>
      <c r="K8">
        <v>-1.41343726597301E-2</v>
      </c>
      <c r="N8">
        <v>-0.10526693537630701</v>
      </c>
      <c r="O8">
        <v>4.05092060959623E-2</v>
      </c>
      <c r="P8">
        <v>-4.2581192823193698E-2</v>
      </c>
      <c r="Q8">
        <v>0.125257755941517</v>
      </c>
    </row>
    <row r="9" spans="1:17" x14ac:dyDescent="0.25">
      <c r="B9">
        <v>-3.5442728880839901E-2</v>
      </c>
      <c r="C9">
        <v>5.7165284002826097E-2</v>
      </c>
      <c r="D9">
        <v>5.85455887865877E-2</v>
      </c>
      <c r="E9">
        <v>-6.8043480886758406E-2</v>
      </c>
      <c r="H9">
        <v>-6.4294669829466798E-3</v>
      </c>
      <c r="I9">
        <v>-5.0759583183814898E-2</v>
      </c>
      <c r="J9">
        <v>9.1423554780211802E-2</v>
      </c>
      <c r="K9">
        <v>-6.5291370288020206E-2</v>
      </c>
      <c r="N9">
        <v>3.2726607855799998E-2</v>
      </c>
      <c r="O9">
        <v>3.01212922691356E-2</v>
      </c>
      <c r="P9">
        <v>5.5998059179139997E-2</v>
      </c>
      <c r="Q9">
        <v>-3.9533171473556103E-2</v>
      </c>
    </row>
    <row r="10" spans="1:17" x14ac:dyDescent="0.25">
      <c r="B10">
        <v>5.9194809484775998E-2</v>
      </c>
      <c r="C10">
        <v>1.15390238862204E-2</v>
      </c>
      <c r="D10">
        <v>5.2177128141911303E-4</v>
      </c>
      <c r="E10">
        <v>9.4981742899424002E-2</v>
      </c>
      <c r="H10">
        <v>-2.4072565524044999E-2</v>
      </c>
      <c r="I10">
        <v>-4.4264177511482199E-2</v>
      </c>
      <c r="J10">
        <v>-2.7097870856701199E-2</v>
      </c>
      <c r="K10">
        <v>8.0607471571832207E-2</v>
      </c>
      <c r="N10">
        <v>6.5828082789867098E-2</v>
      </c>
      <c r="O10">
        <v>0.102733192756155</v>
      </c>
      <c r="P10">
        <v>-3.29052548032579E-2</v>
      </c>
      <c r="Q10">
        <v>-1.04107278388376E-2</v>
      </c>
    </row>
    <row r="11" spans="1:17" x14ac:dyDescent="0.25">
      <c r="B11">
        <v>-4.5916058440405097E-2</v>
      </c>
      <c r="C11">
        <v>-4.4440659656869497E-2</v>
      </c>
      <c r="D11">
        <v>6.5608104966480299E-2</v>
      </c>
      <c r="E11">
        <v>4.7132957122264202E-2</v>
      </c>
      <c r="H11">
        <v>-1.10246328916207E-2</v>
      </c>
      <c r="I11">
        <v>-5.7164804569168398E-3</v>
      </c>
      <c r="J11">
        <v>-2.4300096135082602E-2</v>
      </c>
      <c r="K11">
        <v>-4.4701054826510302E-2</v>
      </c>
      <c r="N11">
        <v>6.8921120055447094E-2</v>
      </c>
      <c r="O11">
        <v>-4.1018308646050002E-2</v>
      </c>
      <c r="P11">
        <v>0.24683280111985201</v>
      </c>
      <c r="Q11">
        <v>-5.5862335578303203E-2</v>
      </c>
    </row>
    <row r="12" spans="1:17" x14ac:dyDescent="0.25">
      <c r="B12">
        <v>8.2930334888959997E-2</v>
      </c>
      <c r="C12">
        <v>1.7506174520075E-2</v>
      </c>
      <c r="D12">
        <v>-5.3916450214478502E-2</v>
      </c>
      <c r="E12">
        <v>-1.51129790781248E-2</v>
      </c>
      <c r="H12">
        <v>-4.2537350619222702E-2</v>
      </c>
      <c r="I12">
        <v>5.1721719346427596E-3</v>
      </c>
      <c r="J12">
        <v>-6.9530012078880502E-2</v>
      </c>
      <c r="K12">
        <v>-2.8584845824119801E-2</v>
      </c>
      <c r="N12">
        <v>-1.2773104642768599E-2</v>
      </c>
      <c r="O12">
        <v>5.6739948464202598E-2</v>
      </c>
      <c r="P12">
        <v>-4.5181949588692101E-2</v>
      </c>
      <c r="Q12">
        <v>4.9668354080038897E-2</v>
      </c>
    </row>
    <row r="13" spans="1:17" x14ac:dyDescent="0.25">
      <c r="B13">
        <v>3.76379834868876E-2</v>
      </c>
      <c r="C13">
        <v>5.8950131047555303E-2</v>
      </c>
      <c r="D13">
        <v>4.5860199235197803E-2</v>
      </c>
      <c r="E13">
        <v>-1.7976214493814001E-2</v>
      </c>
      <c r="H13">
        <v>-6.9449682231324694E-2</v>
      </c>
      <c r="I13">
        <v>1.7468725213200201E-2</v>
      </c>
      <c r="J13">
        <v>4.89936248042089E-2</v>
      </c>
      <c r="K13">
        <v>-1.4012222630318E-2</v>
      </c>
      <c r="N13">
        <v>-1.3918116368878901E-2</v>
      </c>
      <c r="O13">
        <v>8.1650023977085599E-3</v>
      </c>
      <c r="P13">
        <v>6.5734015565994701E-3</v>
      </c>
      <c r="Q13">
        <v>9.4525126008594695E-2</v>
      </c>
    </row>
    <row r="14" spans="1:17" x14ac:dyDescent="0.25">
      <c r="B14">
        <v>4.2640655343697098E-2</v>
      </c>
      <c r="C14">
        <v>-2.1559495455659598E-2</v>
      </c>
      <c r="D14">
        <v>2.4601519634561898E-2</v>
      </c>
      <c r="E14">
        <v>4.67081472749033E-2</v>
      </c>
      <c r="H14">
        <v>3.6393261188098699E-2</v>
      </c>
      <c r="I14">
        <v>-1.8681700366957599E-2</v>
      </c>
      <c r="J14">
        <v>5.2918684996016201E-2</v>
      </c>
      <c r="K14">
        <v>-5.1214273731927502E-2</v>
      </c>
      <c r="N14">
        <v>-1.99890342480314E-2</v>
      </c>
      <c r="O14">
        <v>-5.74081871896926E-3</v>
      </c>
      <c r="P14">
        <v>-3.7326056605824699E-2</v>
      </c>
      <c r="Q14">
        <v>2.2198116655625901E-2</v>
      </c>
    </row>
    <row r="15" spans="1:17" x14ac:dyDescent="0.25">
      <c r="B15">
        <v>-1.9429888341910801E-2</v>
      </c>
      <c r="C15">
        <v>1.5112194233476799E-2</v>
      </c>
      <c r="D15">
        <v>-1.7581540951200601E-2</v>
      </c>
      <c r="E15">
        <v>-4.2561488705028502E-2</v>
      </c>
      <c r="H15">
        <v>1.4719928364623601E-2</v>
      </c>
      <c r="I15">
        <v>3.9564417478968397E-2</v>
      </c>
      <c r="J15">
        <v>-5.4817264414333801E-2</v>
      </c>
      <c r="K15">
        <v>3.1601868591399497E-2</v>
      </c>
      <c r="N15">
        <v>-2.6365537986848601E-2</v>
      </c>
      <c r="O15">
        <v>2.1939699783281801E-2</v>
      </c>
      <c r="P15">
        <v>-2.7798576016288602E-3</v>
      </c>
      <c r="Q15">
        <v>-9.7106717189041399E-3</v>
      </c>
    </row>
    <row r="16" spans="1:17" x14ac:dyDescent="0.25">
      <c r="B16">
        <v>-6.5361697541321401E-2</v>
      </c>
      <c r="C16">
        <v>-5.3889219463929203E-2</v>
      </c>
      <c r="D16">
        <v>2.2895200662305E-2</v>
      </c>
      <c r="E16">
        <v>-4.9330819901372697E-2</v>
      </c>
      <c r="H16">
        <v>1.8232759260207398E-2</v>
      </c>
      <c r="I16">
        <v>2.4844488048570101E-2</v>
      </c>
      <c r="J16">
        <v>-6.80413380944848E-3</v>
      </c>
      <c r="K16">
        <v>-1.14061924248744E-2</v>
      </c>
      <c r="N16">
        <v>-2.3164752246038699E-3</v>
      </c>
      <c r="O16">
        <v>2.8747823679172099E-2</v>
      </c>
      <c r="P16">
        <v>2.0829606447099299E-2</v>
      </c>
      <c r="Q16">
        <v>2.1067292080092399E-2</v>
      </c>
    </row>
    <row r="17" spans="1:17" x14ac:dyDescent="0.25">
      <c r="B17">
        <v>-1.01089487853644E-2</v>
      </c>
      <c r="C17">
        <v>4.5294737154375903E-2</v>
      </c>
      <c r="D17">
        <v>-5.4272456326764501E-2</v>
      </c>
      <c r="E17">
        <v>8.1654769848480396E-3</v>
      </c>
      <c r="H17">
        <v>-7.2520694363294294E-2</v>
      </c>
      <c r="I17">
        <v>-3.7726163350062E-2</v>
      </c>
      <c r="J17">
        <v>-5.3150011608886598E-3</v>
      </c>
      <c r="K17">
        <v>-5.7979710558627898E-2</v>
      </c>
      <c r="N17">
        <v>1.8882594538006E-2</v>
      </c>
      <c r="O17">
        <v>4.9339777248052904E-3</v>
      </c>
      <c r="P17">
        <v>-4.0218745058596399E-2</v>
      </c>
      <c r="Q17">
        <v>-1.0484493046118501E-2</v>
      </c>
    </row>
    <row r="18" spans="1:17" x14ac:dyDescent="0.25">
      <c r="B18">
        <v>1.74639658029416E-2</v>
      </c>
      <c r="C18">
        <v>-1.0494276953779301E-2</v>
      </c>
      <c r="D18">
        <v>-7.3774944809781699E-4</v>
      </c>
      <c r="E18">
        <v>6.9443858373299097E-2</v>
      </c>
      <c r="H18">
        <v>0.101162461122537</v>
      </c>
      <c r="I18">
        <v>-9.4565912701288996E-4</v>
      </c>
      <c r="J18">
        <v>1.9153190267453699E-2</v>
      </c>
      <c r="K18">
        <v>1.7309919291512699E-2</v>
      </c>
      <c r="N18">
        <v>-2.9673826706153199E-2</v>
      </c>
      <c r="O18">
        <v>2.6206731838540102E-3</v>
      </c>
      <c r="P18">
        <v>-2.2863517886845399E-2</v>
      </c>
      <c r="Q18">
        <v>4.7234764259634902E-2</v>
      </c>
    </row>
    <row r="19" spans="1:17" x14ac:dyDescent="0.25">
      <c r="B19">
        <v>-1.2456776216588E-2</v>
      </c>
      <c r="C19">
        <v>-6.89938224644078E-2</v>
      </c>
      <c r="D19">
        <v>-4.3896867399331102E-2</v>
      </c>
      <c r="E19">
        <v>5.1558975246335501E-2</v>
      </c>
      <c r="H19">
        <v>9.0572521165145498E-2</v>
      </c>
      <c r="I19">
        <v>4.8726574618549498E-2</v>
      </c>
      <c r="J19">
        <v>-6.9541741588449099E-2</v>
      </c>
      <c r="K19">
        <v>-1.19140061010846E-2</v>
      </c>
      <c r="N19">
        <v>-7.46756485242248E-2</v>
      </c>
      <c r="O19">
        <v>-2.0751804458489301E-2</v>
      </c>
      <c r="P19">
        <v>-7.0174297212440104E-2</v>
      </c>
      <c r="Q19">
        <v>-5.1180383672265503E-2</v>
      </c>
    </row>
    <row r="20" spans="1:17" x14ac:dyDescent="0.25">
      <c r="B20">
        <v>5.1018033753359199E-2</v>
      </c>
      <c r="C20">
        <v>5.4255369916750097E-2</v>
      </c>
      <c r="D20">
        <v>-1.8132412391637001E-2</v>
      </c>
      <c r="E20">
        <v>-1.62178989415163E-2</v>
      </c>
      <c r="H20">
        <v>-5.1622582079438602E-2</v>
      </c>
      <c r="I20">
        <v>-3.1217312600073599E-2</v>
      </c>
      <c r="J20">
        <v>-7.8397309555253997E-3</v>
      </c>
      <c r="K20">
        <v>-4.5251725849623697E-2</v>
      </c>
      <c r="N20">
        <v>-1.4989643636530501E-2</v>
      </c>
      <c r="O20">
        <v>4.3685248389611603E-2</v>
      </c>
      <c r="P20">
        <v>0.103281214270316</v>
      </c>
      <c r="Q20">
        <v>-3.8847140585516797E-2</v>
      </c>
    </row>
    <row r="21" spans="1:17" x14ac:dyDescent="0.25">
      <c r="B21">
        <v>-1.8103357924825599E-2</v>
      </c>
      <c r="C21">
        <v>2.80544358652784E-2</v>
      </c>
      <c r="D21">
        <v>-0.18798517721330699</v>
      </c>
      <c r="E21">
        <v>6.5287343857872396E-2</v>
      </c>
      <c r="H21">
        <v>6.5464245711708502E-2</v>
      </c>
      <c r="I21">
        <v>4.4778822576062097E-2</v>
      </c>
      <c r="J21">
        <v>0.152476905724439</v>
      </c>
      <c r="K21">
        <v>5.2573795428352797E-2</v>
      </c>
      <c r="N21">
        <v>3.9059490578235198E-2</v>
      </c>
      <c r="O21">
        <v>-7.0795362819533504E-3</v>
      </c>
      <c r="P21">
        <v>3.8559744566786097E-2</v>
      </c>
      <c r="Q21">
        <v>-1.3631414829998099E-2</v>
      </c>
    </row>
    <row r="22" spans="1:17" x14ac:dyDescent="0.25">
      <c r="B22">
        <v>-5.62893894472219</v>
      </c>
      <c r="C22">
        <v>0.39912820369200602</v>
      </c>
      <c r="D22">
        <v>4.8480452774699798E-2</v>
      </c>
      <c r="E22">
        <v>0.137385385866957</v>
      </c>
      <c r="H22">
        <v>0.34193055331481398</v>
      </c>
      <c r="I22">
        <v>0.16742951445886101</v>
      </c>
      <c r="J22">
        <v>3.4914963970993202E-3</v>
      </c>
      <c r="K22">
        <v>-7.1855850283845196E-2</v>
      </c>
      <c r="N22">
        <v>-8.4932717688846401E-2</v>
      </c>
      <c r="O22">
        <v>0.18669326197115699</v>
      </c>
      <c r="P22">
        <v>1.30633908198316E-3</v>
      </c>
      <c r="Q22">
        <v>5.0162897232250002E-2</v>
      </c>
    </row>
    <row r="23" spans="1:17" x14ac:dyDescent="0.25">
      <c r="B23" t="s">
        <v>15</v>
      </c>
      <c r="C23" t="s">
        <v>16</v>
      </c>
      <c r="D23" t="s">
        <v>17</v>
      </c>
      <c r="E23" t="s">
        <v>18</v>
      </c>
      <c r="H23" t="s">
        <v>15</v>
      </c>
      <c r="I23" t="s">
        <v>16</v>
      </c>
      <c r="J23" t="s">
        <v>17</v>
      </c>
      <c r="K23" t="s">
        <v>18</v>
      </c>
      <c r="N23" t="s">
        <v>15</v>
      </c>
      <c r="O23" t="s">
        <v>16</v>
      </c>
      <c r="P23" t="s">
        <v>17</v>
      </c>
      <c r="Q23" t="s">
        <v>18</v>
      </c>
    </row>
    <row r="24" spans="1:17" x14ac:dyDescent="0.25">
      <c r="A24" t="s">
        <v>13</v>
      </c>
      <c r="B24">
        <f>AVERAGE(B2:B22)</f>
        <v>-0.25373035380886422</v>
      </c>
      <c r="C24">
        <f>AVERAGE(C2:C22)</f>
        <v>4.281081494320829E-3</v>
      </c>
      <c r="D24">
        <f>AVERAGE(D2:D22)</f>
        <v>1.4494730488431862E-2</v>
      </c>
      <c r="E24">
        <f>AVERAGE(E2:E22)</f>
        <v>1.1543615365562357E-2</v>
      </c>
      <c r="H24">
        <f>AVERAGE(H2:H22)</f>
        <v>1.7694618223189091E-2</v>
      </c>
      <c r="I24">
        <f>AVERAGE(I2:I22)</f>
        <v>3.3318980919855626E-3</v>
      </c>
      <c r="J24">
        <f>AVERAGE(J2:J22)</f>
        <v>4.6012703028012799E-3</v>
      </c>
      <c r="K24">
        <f>AVERAGE(K2:K22)</f>
        <v>2.7638853478081135E-4</v>
      </c>
      <c r="N24">
        <f>AVERAGE(N2:N22)</f>
        <v>-1.0666446687894047E-2</v>
      </c>
      <c r="O24">
        <f>AVERAGE(O2:O22)</f>
        <v>3.2067865104203806E-2</v>
      </c>
      <c r="P24">
        <f>AVERAGE(P2:P22)</f>
        <v>-6.7367529918873443E-3</v>
      </c>
      <c r="Q24">
        <f>AVERAGE(Q2:Q22)</f>
        <v>1.4013684970825533E-2</v>
      </c>
    </row>
    <row r="25" spans="1:17" x14ac:dyDescent="0.25">
      <c r="A25" t="s">
        <v>14</v>
      </c>
      <c r="B25">
        <f>STDEV(B2:B22)</f>
        <v>1.2325467969494952</v>
      </c>
      <c r="C25">
        <f>STDEV(C2:C22)</f>
        <v>0.11439845270734429</v>
      </c>
      <c r="D25">
        <f>STDEV(D2:D22)</f>
        <v>8.3864499226371236E-2</v>
      </c>
      <c r="E25">
        <f>STDEV(E2:E22)</f>
        <v>5.8944857662170155E-2</v>
      </c>
      <c r="H25">
        <f>STDEV(H2:H22)</f>
        <v>9.0689151536675339E-2</v>
      </c>
      <c r="I25">
        <f>STDEV(I2:I22)</f>
        <v>7.7285456895478527E-2</v>
      </c>
      <c r="J25">
        <f>STDEV(J2:J22)</f>
        <v>6.2744549278588885E-2</v>
      </c>
      <c r="K25">
        <f>STDEV(K2:K22)</f>
        <v>9.0284569831737826E-2</v>
      </c>
      <c r="N25">
        <f>STDEV(N2:N22)</f>
        <v>7.267378166163331E-2</v>
      </c>
      <c r="O25">
        <f>STDEV(O2:O22)</f>
        <v>5.3048453044734468E-2</v>
      </c>
      <c r="P25">
        <f>STDEV(P2:P22)</f>
        <v>8.6954366501644217E-2</v>
      </c>
      <c r="Q25">
        <f>STDEV(Q2:Q22)</f>
        <v>4.7713524300611189E-2</v>
      </c>
    </row>
    <row r="27" spans="1:17" x14ac:dyDescent="0.25">
      <c r="B27">
        <f>TTEST(B2:B22,C2:C22,2,1)</f>
        <v>0.38264802008675403</v>
      </c>
      <c r="H27">
        <f>TTEST(H2:H22,I2:I22,2,1)</f>
        <v>0.41781820654106194</v>
      </c>
      <c r="N27">
        <f>TTEST(N2:N22,O2:O22,2,1)</f>
        <v>6.199148850192019E-2</v>
      </c>
    </row>
    <row r="28" spans="1:17" x14ac:dyDescent="0.25">
      <c r="B28">
        <f>TTEST(D2:D22,E2:E22,2,1)</f>
        <v>0.89930678715522261</v>
      </c>
      <c r="H28">
        <f>TTEST(J2:J22,K2:K22,2,1)</f>
        <v>0.8431649547226584</v>
      </c>
      <c r="N28">
        <f>TTEST(P2:P22,Q2:Q22,2,1)</f>
        <v>0.39676528197609284</v>
      </c>
    </row>
    <row r="29" spans="1:17" x14ac:dyDescent="0.25">
      <c r="B29">
        <f>TTEST(B2:B22,D2:D22,2,1)</f>
        <v>0.33482423066010791</v>
      </c>
      <c r="H29">
        <f>TTEST(H2:H22,J2:J22,2,1)</f>
        <v>0.57215538555695855</v>
      </c>
      <c r="N29">
        <f>TTEST(N2:N22,P2:P22,2,1)</f>
        <v>0.80235736531968549</v>
      </c>
    </row>
    <row r="30" spans="1:17" x14ac:dyDescent="0.25">
      <c r="B30">
        <f>TTEST(C2:C22,E2:E22,2,1)</f>
        <v>0.76310611923781579</v>
      </c>
      <c r="H30">
        <f>TTEST(I2:I22,K2:K22,2,1)</f>
        <v>0.92829958313375738</v>
      </c>
      <c r="N30">
        <f>TTEST(O2:O22,Q2:Q22,2,1)</f>
        <v>0.22421003090965408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3181-0733-4DE6-974D-D7027420FC5D}">
  <dimension ref="A1:Q30"/>
  <sheetViews>
    <sheetView topLeftCell="A7" workbookViewId="0">
      <selection activeCell="N23" sqref="N23:Q24"/>
    </sheetView>
  </sheetViews>
  <sheetFormatPr defaultRowHeight="15" x14ac:dyDescent="0.25"/>
  <sheetData>
    <row r="1" spans="1:17" x14ac:dyDescent="0.25">
      <c r="A1" t="s">
        <v>24</v>
      </c>
      <c r="B1" t="s">
        <v>1</v>
      </c>
      <c r="C1" t="s">
        <v>2</v>
      </c>
      <c r="D1" t="s">
        <v>3</v>
      </c>
      <c r="E1" t="s">
        <v>4</v>
      </c>
      <c r="G1" t="s">
        <v>11</v>
      </c>
      <c r="H1" t="s">
        <v>1</v>
      </c>
      <c r="I1" t="s">
        <v>2</v>
      </c>
      <c r="J1" t="s">
        <v>3</v>
      </c>
      <c r="K1" t="s">
        <v>4</v>
      </c>
      <c r="M1" t="s">
        <v>25</v>
      </c>
      <c r="N1" t="s">
        <v>1</v>
      </c>
      <c r="O1" t="s">
        <v>2</v>
      </c>
      <c r="P1" t="s">
        <v>3</v>
      </c>
      <c r="Q1" t="s">
        <v>4</v>
      </c>
    </row>
    <row r="2" spans="1:17" x14ac:dyDescent="0.25">
      <c r="B2">
        <v>0.188008695964067</v>
      </c>
      <c r="C2">
        <v>0.133556462368217</v>
      </c>
      <c r="D2">
        <v>-1.6453580854066799E-2</v>
      </c>
      <c r="E2">
        <v>-4.6344210567488602E-2</v>
      </c>
      <c r="H2">
        <v>4.8553324447956701E-2</v>
      </c>
      <c r="I2">
        <v>5.8918637965665502E-2</v>
      </c>
      <c r="J2">
        <v>0.105309723808492</v>
      </c>
      <c r="K2">
        <v>-1.8476242044099402E-2</v>
      </c>
      <c r="N2">
        <v>2.8792878152001301E-2</v>
      </c>
      <c r="O2">
        <v>7.1989265454380502E-2</v>
      </c>
      <c r="P2">
        <v>2.5277475183461399E-2</v>
      </c>
      <c r="Q2">
        <v>-7.9065915030437403E-2</v>
      </c>
    </row>
    <row r="3" spans="1:17" x14ac:dyDescent="0.25">
      <c r="B3">
        <v>0.182204808179454</v>
      </c>
      <c r="C3">
        <v>-0.65617729759708499</v>
      </c>
      <c r="D3">
        <v>6.4733273380743805E-2</v>
      </c>
      <c r="E3">
        <v>6.8847276188291895E-2</v>
      </c>
      <c r="H3">
        <v>0.37932335547427998</v>
      </c>
      <c r="I3">
        <v>8.07328481216852E-2</v>
      </c>
      <c r="J3">
        <v>-6.0659740570983701E-2</v>
      </c>
      <c r="K3">
        <v>-3.13357922661405E-2</v>
      </c>
      <c r="N3">
        <v>0.39924471083572499</v>
      </c>
      <c r="O3">
        <v>-0.553343116909355</v>
      </c>
      <c r="P3">
        <v>0.144993585841346</v>
      </c>
      <c r="Q3">
        <v>5.5056394059117199E-2</v>
      </c>
    </row>
    <row r="4" spans="1:17" x14ac:dyDescent="0.25">
      <c r="B4">
        <v>5.1014293397291001E-2</v>
      </c>
      <c r="C4">
        <v>0.1597593013052</v>
      </c>
      <c r="D4">
        <v>-1.0202536915730901E-2</v>
      </c>
      <c r="E4">
        <v>-2.5400869300737001E-2</v>
      </c>
      <c r="H4">
        <v>-9.3403272024638107E-2</v>
      </c>
      <c r="I4">
        <v>-8.50965816572362E-2</v>
      </c>
      <c r="J4">
        <v>0.23053157224554299</v>
      </c>
      <c r="K4">
        <v>-9.3384130904385798E-2</v>
      </c>
      <c r="N4">
        <v>0.20935713498973099</v>
      </c>
      <c r="O4">
        <v>0.34975623108641402</v>
      </c>
      <c r="P4">
        <v>0.16442981733838799</v>
      </c>
      <c r="Q4">
        <v>-2.0475540165093599E-2</v>
      </c>
    </row>
    <row r="5" spans="1:17" x14ac:dyDescent="0.25">
      <c r="B5">
        <v>0.160535327898466</v>
      </c>
      <c r="C5">
        <v>-0.15945382461562399</v>
      </c>
      <c r="D5">
        <v>1.7067269597716601E-2</v>
      </c>
      <c r="E5">
        <v>-0.20856398581708199</v>
      </c>
      <c r="H5">
        <v>0.162447331249502</v>
      </c>
      <c r="I5">
        <v>-8.7159228918922099E-4</v>
      </c>
      <c r="J5">
        <v>-4.7111022547519303E-2</v>
      </c>
      <c r="K5">
        <v>0.11016168346163099</v>
      </c>
      <c r="N5">
        <v>-6.35213597287482E-2</v>
      </c>
      <c r="O5">
        <v>-7.3340004887830101E-2</v>
      </c>
      <c r="P5">
        <v>9.7129899663560795E-2</v>
      </c>
      <c r="Q5">
        <v>-0.10394578539534299</v>
      </c>
    </row>
    <row r="6" spans="1:17" x14ac:dyDescent="0.25">
      <c r="B6">
        <v>-6.62183879642846E-2</v>
      </c>
      <c r="C6">
        <v>1.5161222774653999E-2</v>
      </c>
      <c r="D6">
        <v>0.12543395820216599</v>
      </c>
      <c r="E6">
        <v>-0.14405537767368301</v>
      </c>
      <c r="H6">
        <v>-3.2835839231184397E-2</v>
      </c>
      <c r="I6">
        <v>7.6756957945109006E-2</v>
      </c>
      <c r="J6">
        <v>5.15875800695767E-2</v>
      </c>
      <c r="K6">
        <v>-8.5353877763092903E-2</v>
      </c>
      <c r="N6">
        <v>3.1233598313124802E-2</v>
      </c>
      <c r="O6">
        <v>-7.6510761394877596E-3</v>
      </c>
      <c r="P6">
        <v>6.0195224155432901E-2</v>
      </c>
      <c r="Q6">
        <v>-0.162528780772349</v>
      </c>
    </row>
    <row r="7" spans="1:17" x14ac:dyDescent="0.25">
      <c r="B7">
        <v>0.32840117418778197</v>
      </c>
      <c r="C7">
        <v>-0.14218564711787199</v>
      </c>
      <c r="D7">
        <v>-7.9410070663721202E-2</v>
      </c>
      <c r="E7">
        <v>0.110084823346005</v>
      </c>
      <c r="H7">
        <v>0.36358026364998802</v>
      </c>
      <c r="I7">
        <v>5.4428315124296897E-2</v>
      </c>
      <c r="J7">
        <v>0.11643305017393001</v>
      </c>
      <c r="K7">
        <v>0.14135704747473599</v>
      </c>
      <c r="N7">
        <v>-0.25284459322205</v>
      </c>
      <c r="O7">
        <v>-0.18433617199469801</v>
      </c>
      <c r="P7">
        <v>8.3062194538899001E-2</v>
      </c>
      <c r="Q7">
        <v>0.16956815507110001</v>
      </c>
    </row>
    <row r="8" spans="1:17" x14ac:dyDescent="0.25">
      <c r="B8">
        <v>-2.3891075263858901E-2</v>
      </c>
      <c r="C8">
        <v>-0.109773746696939</v>
      </c>
      <c r="D8">
        <v>2.75422660159092E-2</v>
      </c>
      <c r="E8">
        <v>1.9827936334016898E-2</v>
      </c>
      <c r="H8">
        <v>2.5978909305745399E-2</v>
      </c>
      <c r="I8">
        <v>-0.112587174764629</v>
      </c>
      <c r="J8">
        <v>-3.8395092923685002E-2</v>
      </c>
      <c r="K8">
        <v>4.0705939231714998E-2</v>
      </c>
      <c r="N8">
        <v>7.3397550932458894E-2</v>
      </c>
      <c r="O8">
        <v>-7.3619140411396002E-3</v>
      </c>
      <c r="P8">
        <v>-3.03632697695073E-2</v>
      </c>
      <c r="Q8">
        <v>0.17052888333465499</v>
      </c>
    </row>
    <row r="9" spans="1:17" x14ac:dyDescent="0.25">
      <c r="B9">
        <v>9.6647395933316498E-3</v>
      </c>
      <c r="C9">
        <v>-1.0544348986955601E-2</v>
      </c>
      <c r="D9">
        <v>7.2499803749878994E-2</v>
      </c>
      <c r="E9">
        <v>0.13000679210765301</v>
      </c>
      <c r="H9">
        <v>0.108538661947295</v>
      </c>
      <c r="I9">
        <v>3.18666372324399E-3</v>
      </c>
      <c r="J9">
        <v>1.9294637028931801E-2</v>
      </c>
      <c r="K9">
        <v>2.55063465480149E-2</v>
      </c>
      <c r="N9">
        <v>-4.0329582899578303E-2</v>
      </c>
      <c r="O9">
        <v>-5.4558567655543101E-2</v>
      </c>
      <c r="P9">
        <v>-8.4342686226996297E-2</v>
      </c>
      <c r="Q9">
        <v>6.4705619530307096E-2</v>
      </c>
    </row>
    <row r="10" spans="1:17" x14ac:dyDescent="0.25">
      <c r="B10">
        <v>8.8171085566360594E-2</v>
      </c>
      <c r="C10">
        <v>3.7141822503237901E-2</v>
      </c>
      <c r="D10">
        <v>2.19742222203239E-2</v>
      </c>
      <c r="E10">
        <v>-4.6882931188478E-2</v>
      </c>
      <c r="H10">
        <v>0.111665132249783</v>
      </c>
      <c r="I10">
        <v>5.7261963506636003E-2</v>
      </c>
      <c r="J10">
        <v>1.9644044343377201E-2</v>
      </c>
      <c r="K10">
        <v>0.21170155992234599</v>
      </c>
      <c r="N10">
        <v>8.9320076660232103E-2</v>
      </c>
      <c r="O10">
        <v>-0.168036400290906</v>
      </c>
      <c r="P10">
        <v>6.5760614574155996E-2</v>
      </c>
      <c r="Q10">
        <v>5.3902173258247602E-2</v>
      </c>
    </row>
    <row r="11" spans="1:17" x14ac:dyDescent="0.25">
      <c r="B11">
        <v>-0.173986662868713</v>
      </c>
      <c r="C11">
        <v>1.43447104976631E-2</v>
      </c>
      <c r="D11">
        <v>-7.8605628220573598E-2</v>
      </c>
      <c r="E11">
        <v>-0.134477451864815</v>
      </c>
      <c r="H11">
        <v>-9.7554075803197401E-2</v>
      </c>
      <c r="I11">
        <v>9.3741947460080702E-2</v>
      </c>
      <c r="J11">
        <v>-8.6424433859393995E-2</v>
      </c>
      <c r="K11">
        <v>-6.3761657886937495E-2</v>
      </c>
      <c r="N11">
        <v>-2.3485394877797501E-2</v>
      </c>
      <c r="O11">
        <v>8.2759412344443395E-2</v>
      </c>
      <c r="P11">
        <v>-0.14404880157284899</v>
      </c>
      <c r="Q11">
        <v>1.9043894094562201E-2</v>
      </c>
    </row>
    <row r="12" spans="1:17" x14ac:dyDescent="0.25">
      <c r="B12">
        <v>-0.170412778388703</v>
      </c>
      <c r="C12">
        <v>-0.14680979804612701</v>
      </c>
      <c r="D12">
        <v>-6.5107047907020807E-2</v>
      </c>
      <c r="E12">
        <v>1.39701820975355E-2</v>
      </c>
      <c r="H12">
        <v>-0.13797343216317601</v>
      </c>
      <c r="I12">
        <v>-0.129960615453377</v>
      </c>
      <c r="J12">
        <v>-0.29914002914631299</v>
      </c>
      <c r="K12">
        <v>-0.146840596902547</v>
      </c>
      <c r="N12">
        <v>3.8062353446786698E-2</v>
      </c>
      <c r="O12">
        <v>0.130923173175059</v>
      </c>
      <c r="P12">
        <v>9.9715639465951397E-2</v>
      </c>
      <c r="Q12">
        <v>8.6850789880899296E-2</v>
      </c>
    </row>
    <row r="13" spans="1:17" x14ac:dyDescent="0.25">
      <c r="B13">
        <v>0.151544578530422</v>
      </c>
      <c r="C13">
        <v>-6.4027771720153198E-2</v>
      </c>
      <c r="D13">
        <v>-4.0236214545979601E-2</v>
      </c>
      <c r="E13">
        <v>0.17072428750316099</v>
      </c>
      <c r="H13">
        <v>0.175807675217374</v>
      </c>
      <c r="I13">
        <v>0.114901792290072</v>
      </c>
      <c r="J13">
        <v>2.5426938645831801E-2</v>
      </c>
      <c r="K13">
        <v>-4.2099785695413498E-2</v>
      </c>
      <c r="N13">
        <v>-8.7392108619916697E-2</v>
      </c>
      <c r="O13">
        <v>-0.110865894720428</v>
      </c>
      <c r="P13">
        <v>-2.3237148456791101E-2</v>
      </c>
      <c r="Q13">
        <v>5.7945593119140403E-2</v>
      </c>
    </row>
    <row r="14" spans="1:17" x14ac:dyDescent="0.25">
      <c r="B14">
        <v>4.7600324193450699E-2</v>
      </c>
      <c r="C14">
        <v>5.0716576066129802E-2</v>
      </c>
      <c r="D14">
        <v>0.27114191564489598</v>
      </c>
      <c r="E14">
        <v>-0.11020966810359401</v>
      </c>
      <c r="H14">
        <v>6.9166651124343906E-2</v>
      </c>
      <c r="I14">
        <v>4.9917477291800197E-2</v>
      </c>
      <c r="J14">
        <v>0.148138224838543</v>
      </c>
      <c r="K14">
        <v>-0.108684583044904</v>
      </c>
      <c r="N14">
        <v>2.8253221997634199E-2</v>
      </c>
      <c r="O14">
        <v>3.6145678621113599E-2</v>
      </c>
      <c r="P14">
        <v>0.21751716312674599</v>
      </c>
      <c r="Q14">
        <v>-7.3580861571402104E-2</v>
      </c>
    </row>
    <row r="15" spans="1:17" x14ac:dyDescent="0.25">
      <c r="B15">
        <v>0.22866589217994801</v>
      </c>
      <c r="C15">
        <v>0.124301466596049</v>
      </c>
      <c r="D15">
        <v>-2.4595363444254899E-3</v>
      </c>
      <c r="E15">
        <v>8.0893847849999007E-2</v>
      </c>
      <c r="H15">
        <v>4.5375793781063802E-2</v>
      </c>
      <c r="I15">
        <v>0.18235390519691999</v>
      </c>
      <c r="J15">
        <v>-0.10715367185284</v>
      </c>
      <c r="K15">
        <v>-9.8591559398060399E-2</v>
      </c>
      <c r="N15">
        <v>0.286378044040144</v>
      </c>
      <c r="O15">
        <v>6.7876607254860097E-2</v>
      </c>
      <c r="P15">
        <v>3.16689624059278E-2</v>
      </c>
      <c r="Q15">
        <v>8.6815225891972797E-2</v>
      </c>
    </row>
    <row r="16" spans="1:17" x14ac:dyDescent="0.25">
      <c r="B16">
        <v>1.5558671835817E-2</v>
      </c>
      <c r="C16">
        <v>0.219187048315752</v>
      </c>
      <c r="D16">
        <v>-7.2726330527649397E-3</v>
      </c>
      <c r="E16">
        <v>-7.2037517885025701E-2</v>
      </c>
      <c r="H16">
        <v>-7.5742279122098001E-3</v>
      </c>
      <c r="I16">
        <v>0.25041993910217902</v>
      </c>
      <c r="J16">
        <v>0.138460191964766</v>
      </c>
      <c r="K16">
        <v>-3.6619795834874798E-3</v>
      </c>
      <c r="N16">
        <v>-7.50038710455595E-2</v>
      </c>
      <c r="O16">
        <v>0.11046638930733101</v>
      </c>
      <c r="P16">
        <v>-3.13526459764479E-2</v>
      </c>
      <c r="Q16">
        <v>1.0973990771761899E-3</v>
      </c>
    </row>
    <row r="17" spans="1:17" x14ac:dyDescent="0.25">
      <c r="B17">
        <v>6.2055287500992597E-4</v>
      </c>
      <c r="C17">
        <v>9.3207409456290302E-2</v>
      </c>
      <c r="D17">
        <v>2.3202599742229799E-2</v>
      </c>
      <c r="E17">
        <v>2.0802558894783E-2</v>
      </c>
      <c r="H17">
        <v>9.6210652939131905E-3</v>
      </c>
      <c r="I17">
        <v>8.1644878467144494E-2</v>
      </c>
      <c r="J17">
        <v>1.8286304631334099E-2</v>
      </c>
      <c r="K17">
        <v>-5.9847328173691899E-2</v>
      </c>
      <c r="N17">
        <v>-6.4590462822713801E-2</v>
      </c>
      <c r="O17">
        <v>-9.7546956115885097E-2</v>
      </c>
      <c r="P17">
        <v>-4.1846027813156002E-2</v>
      </c>
      <c r="Q17">
        <v>-0.111777156919954</v>
      </c>
    </row>
    <row r="18" spans="1:17" x14ac:dyDescent="0.25">
      <c r="B18">
        <v>-7.2748383286399904E-2</v>
      </c>
      <c r="C18">
        <v>3.32990101282147E-2</v>
      </c>
      <c r="D18">
        <v>3.6326677587005897E-2</v>
      </c>
      <c r="E18">
        <v>-1.55284506538801E-2</v>
      </c>
      <c r="H18">
        <v>-1.39312782529637E-2</v>
      </c>
      <c r="I18">
        <v>-9.9903352319870194E-3</v>
      </c>
      <c r="J18">
        <v>5.6016159303952297E-2</v>
      </c>
      <c r="K18">
        <v>6.5471181696994604E-2</v>
      </c>
      <c r="N18">
        <v>0.13919341892519799</v>
      </c>
      <c r="O18">
        <v>0.23527926214058101</v>
      </c>
      <c r="P18">
        <v>-8.8024419387009403E-2</v>
      </c>
      <c r="Q18">
        <v>-3.3531551586071899E-2</v>
      </c>
    </row>
    <row r="19" spans="1:17" x14ac:dyDescent="0.25">
      <c r="B19">
        <v>-2.4805678263691799E-2</v>
      </c>
      <c r="C19">
        <v>-0.12618660529213299</v>
      </c>
      <c r="D19">
        <v>-4.5644567104517697E-2</v>
      </c>
      <c r="E19">
        <v>-2.9318631718842198E-3</v>
      </c>
      <c r="H19">
        <v>2.1520196108761502E-2</v>
      </c>
      <c r="I19">
        <v>-7.4738279170541003E-2</v>
      </c>
      <c r="J19">
        <v>-0.164051669415504</v>
      </c>
      <c r="K19">
        <v>-6.50915522276308E-2</v>
      </c>
      <c r="N19">
        <v>-0.104022781869279</v>
      </c>
      <c r="O19">
        <v>-0.12196695894993199</v>
      </c>
      <c r="P19">
        <v>-2.4417271059511501E-2</v>
      </c>
      <c r="Q19">
        <v>0.238787575489051</v>
      </c>
    </row>
    <row r="20" spans="1:17" x14ac:dyDescent="0.25">
      <c r="B20">
        <v>0.131998701293638</v>
      </c>
      <c r="C20">
        <v>2.53993192597156E-2</v>
      </c>
      <c r="D20">
        <v>-3.60322358482872E-2</v>
      </c>
      <c r="E20">
        <v>0.134753927027434</v>
      </c>
      <c r="H20">
        <v>5.52001540986286E-2</v>
      </c>
      <c r="I20">
        <v>6.3319570797791602E-2</v>
      </c>
      <c r="J20">
        <v>0.14288007129342101</v>
      </c>
      <c r="K20">
        <v>0.27818802293654699</v>
      </c>
      <c r="N20">
        <v>-8.04062232958099E-3</v>
      </c>
      <c r="O20">
        <v>-8.3654209453426401E-2</v>
      </c>
      <c r="P20">
        <v>-3.64009763678797E-2</v>
      </c>
      <c r="Q20">
        <v>6.0598342017198402E-2</v>
      </c>
    </row>
    <row r="21" spans="1:17" x14ac:dyDescent="0.25">
      <c r="B21">
        <v>-9.1687386008959204E-2</v>
      </c>
      <c r="C21">
        <v>-0.121341658355562</v>
      </c>
      <c r="D21">
        <v>-0.16107958480915499</v>
      </c>
      <c r="E21">
        <v>2.3975791823236399E-2</v>
      </c>
      <c r="H21">
        <v>4.5100304023987896E-3</v>
      </c>
      <c r="I21">
        <v>-4.0718074264785999E-2</v>
      </c>
      <c r="J21">
        <v>-1.2157663757146799E-2</v>
      </c>
      <c r="K21">
        <v>-6.6803431615505299E-3</v>
      </c>
      <c r="N21">
        <v>-0.146810017339397</v>
      </c>
      <c r="O21">
        <v>-0.13548077790511501</v>
      </c>
      <c r="P21">
        <v>-5.6155481906632602E-2</v>
      </c>
      <c r="Q21">
        <v>0.138041615441377</v>
      </c>
    </row>
    <row r="22" spans="1:17" x14ac:dyDescent="0.25">
      <c r="B22">
        <v>-0.35606586543163699</v>
      </c>
      <c r="C22">
        <v>-0.17798049186114601</v>
      </c>
      <c r="D22">
        <v>0.107529945233968</v>
      </c>
      <c r="E22">
        <v>2.2511393428037201E-2</v>
      </c>
      <c r="H22">
        <v>-3.3946165829305999</v>
      </c>
      <c r="I22">
        <v>0.65262907644818102</v>
      </c>
      <c r="J22">
        <v>0.215938312151121</v>
      </c>
      <c r="K22">
        <v>8.3917801790135998E-2</v>
      </c>
      <c r="N22">
        <v>-1.1395739200888799</v>
      </c>
      <c r="O22">
        <v>-0.61038589028935897</v>
      </c>
      <c r="P22">
        <v>3.86596835143901E-2</v>
      </c>
      <c r="Q22">
        <v>4.81623258863276E-2</v>
      </c>
    </row>
    <row r="23" spans="1:17" x14ac:dyDescent="0.25">
      <c r="B23" t="s">
        <v>15</v>
      </c>
      <c r="C23" t="s">
        <v>16</v>
      </c>
      <c r="D23" t="s">
        <v>17</v>
      </c>
      <c r="E23" t="s">
        <v>18</v>
      </c>
      <c r="H23" t="s">
        <v>15</v>
      </c>
      <c r="I23" t="s">
        <v>16</v>
      </c>
      <c r="J23" t="s">
        <v>17</v>
      </c>
      <c r="K23" t="s">
        <v>18</v>
      </c>
      <c r="N23" t="s">
        <v>15</v>
      </c>
      <c r="O23" t="s">
        <v>16</v>
      </c>
      <c r="P23" t="s">
        <v>17</v>
      </c>
      <c r="Q23" t="s">
        <v>18</v>
      </c>
    </row>
    <row r="24" spans="1:17" x14ac:dyDescent="0.25">
      <c r="A24" t="s">
        <v>13</v>
      </c>
      <c r="B24">
        <f>AVERAGE(B2:B22)</f>
        <v>2.8770125153275736E-2</v>
      </c>
      <c r="C24">
        <f>AVERAGE(C2:C22)</f>
        <v>-3.8495563858022525E-2</v>
      </c>
      <c r="D24">
        <f>AVERAGE(D2:D22)</f>
        <v>1.0711823576599763E-2</v>
      </c>
      <c r="E24">
        <f>AVERAGE(E2:E22)</f>
        <v>-4.7778617269117739E-4</v>
      </c>
      <c r="H24">
        <f>AVERAGE(H2:H22)</f>
        <v>-0.1046000078079493</v>
      </c>
      <c r="I24">
        <f>AVERAGE(I2:I22)</f>
        <v>6.5059586695669538E-2</v>
      </c>
      <c r="J24">
        <f>AVERAGE(J2:J22)</f>
        <v>2.2516832686925434E-2</v>
      </c>
      <c r="K24">
        <f>AVERAGE(K2:K22)</f>
        <v>6.3428644766751778E-3</v>
      </c>
      <c r="N24">
        <f>AVERAGE(N2:N22)</f>
        <v>-3.2494367930974523E-2</v>
      </c>
      <c r="O24">
        <f>AVERAGE(O2:O22)</f>
        <v>-5.3491996188996305E-2</v>
      </c>
      <c r="P24">
        <f>AVERAGE(P2:P22)</f>
        <v>2.2296263393879918E-2</v>
      </c>
      <c r="Q24">
        <f>AVERAGE(Q2:Q22)</f>
        <v>3.1723733081451461E-2</v>
      </c>
    </row>
    <row r="25" spans="1:17" x14ac:dyDescent="0.25">
      <c r="A25" t="s">
        <v>14</v>
      </c>
      <c r="B25">
        <f>STDEV(B2:B22)</f>
        <v>0.15744889353490216</v>
      </c>
      <c r="C25">
        <f>STDEV(C2:C22)</f>
        <v>0.18260777133245035</v>
      </c>
      <c r="D25">
        <f>STDEV(D2:D22)</f>
        <v>8.9259973783902991E-2</v>
      </c>
      <c r="E25">
        <f>STDEV(E2:E22)</f>
        <v>9.864553778337852E-2</v>
      </c>
      <c r="H25">
        <f>STDEV(H2:H22)</f>
        <v>0.76496362858223277</v>
      </c>
      <c r="I25">
        <f>STDEV(I2:I22)</f>
        <v>0.16346877367372464</v>
      </c>
      <c r="J25">
        <f>STDEV(J2:J22)</f>
        <v>0.1276151805286283</v>
      </c>
      <c r="K25">
        <f>STDEV(K2:K22)</f>
        <v>0.10983020018619262</v>
      </c>
      <c r="N25">
        <f>STDEV(N2:N22)</f>
        <v>0.29312990128617733</v>
      </c>
      <c r="O25">
        <f>STDEV(O2:O22)</f>
        <v>0.22094851136289684</v>
      </c>
      <c r="P25">
        <f>STDEV(P2:P22)</f>
        <v>9.1427086152878437E-2</v>
      </c>
      <c r="Q25">
        <f>STDEV(Q2:Q22)</f>
        <v>0.1026193298813991</v>
      </c>
    </row>
    <row r="27" spans="1:17" x14ac:dyDescent="0.25">
      <c r="B27">
        <f>TTEST(B2:B22,C2:C22,2,1)</f>
        <v>0.21756980585340474</v>
      </c>
      <c r="H27">
        <f>TTEST(H2:H22,I2:I22,2,1)</f>
        <v>0.39754995143392347</v>
      </c>
      <c r="N27">
        <f>TTEST(N2:N22,O2:O22,2,1)</f>
        <v>0.71973336907107277</v>
      </c>
    </row>
    <row r="28" spans="1:17" x14ac:dyDescent="0.25">
      <c r="B28">
        <f>TTEST(D2:D22,E2:E22,2,1)</f>
        <v>0.73650083727051152</v>
      </c>
      <c r="H28">
        <f>TTEST(J2:J22,K2:K22,2,1)</f>
        <v>0.59140655390438668</v>
      </c>
      <c r="N28">
        <f>TTEST(P2:P22,Q2:Q22,2,1)</f>
        <v>0.77822288128810357</v>
      </c>
    </row>
    <row r="29" spans="1:17" x14ac:dyDescent="0.25">
      <c r="B29">
        <f>TTEST(B2:B22,D2:D22,2,1)</f>
        <v>0.6649516811615257</v>
      </c>
      <c r="H29">
        <f>TTEST(H2:H22,J2:J22,2,1)</f>
        <v>0.48291912284949667</v>
      </c>
      <c r="N29">
        <f>TTEST(N2:N22,P2:P22,2,1)</f>
        <v>0.4043324749460846</v>
      </c>
    </row>
    <row r="30" spans="1:17" x14ac:dyDescent="0.25">
      <c r="B30">
        <f>TTEST(C2:C22,E2:E22,2,1)</f>
        <v>0.44697809376303799</v>
      </c>
      <c r="H30">
        <f>TTEST(I2:I22,K2:K22,2,1)</f>
        <v>0.15270570600499708</v>
      </c>
      <c r="N30">
        <f>TTEST(O2:O22,Q2:Q22,2,1)</f>
        <v>0.1574263230968925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Theta_phase</vt:lpstr>
      <vt:lpstr>Gamma_phase</vt:lpstr>
      <vt:lpstr>Alpha_phase</vt:lpstr>
      <vt:lpstr>Theta_power</vt:lpstr>
      <vt:lpstr>Gamma_power</vt:lpstr>
      <vt:lpstr>Alpha_power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Cucu</dc:creator>
  <cp:lastModifiedBy>MO Cucu</cp:lastModifiedBy>
  <dcterms:created xsi:type="dcterms:W3CDTF">2017-09-01T12:18:46Z</dcterms:created>
  <dcterms:modified xsi:type="dcterms:W3CDTF">2017-09-20T15:50:37Z</dcterms:modified>
</cp:coreProperties>
</file>